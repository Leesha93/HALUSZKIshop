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FD7ADC501D9BAC1/PRYWATNE/_GRY/_mroczne zakamarki/_Haluszki/_sklepik pliki/"/>
    </mc:Choice>
  </mc:AlternateContent>
  <xr:revisionPtr revIDLastSave="905" documentId="13_ncr:1_{3464BF6B-8B9B-48AF-97CC-E4FBF9CF6F8A}" xr6:coauthVersionLast="47" xr6:coauthVersionMax="47" xr10:uidLastSave="{3EE2B5E1-99DA-445B-A75B-D57E4A672A87}"/>
  <bookViews>
    <workbookView xWindow="1650" yWindow="270" windowWidth="31180" windowHeight="20570" activeTab="1" xr2:uid="{FD3DA78B-A9F2-483A-8CCD-4C45EFC0D5AA}"/>
  </bookViews>
  <sheets>
    <sheet name="SELL NEW" sheetId="4" r:id="rId1"/>
    <sheet name="SELL" sheetId="2" r:id="rId2"/>
    <sheet name="Arkusz1" sheetId="5" r:id="rId3"/>
  </sheets>
  <definedNames>
    <definedName name="_xlnm.Print_Area" localSheetId="1">Tabela34[#All]</definedName>
  </definedNames>
  <calcPr calcId="191028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5" i="2" l="1"/>
  <c r="D184" i="2"/>
  <c r="D183" i="2"/>
  <c r="D182" i="2"/>
  <c r="D149" i="2"/>
  <c r="D148" i="2"/>
  <c r="D147" i="2"/>
  <c r="D36" i="2"/>
  <c r="D34" i="2"/>
  <c r="D32" i="2"/>
  <c r="D37" i="2"/>
  <c r="D35" i="2"/>
  <c r="D33" i="2"/>
  <c r="D60" i="2"/>
  <c r="D58" i="2"/>
  <c r="D59" i="2"/>
  <c r="D112" i="2"/>
  <c r="D81" i="2"/>
  <c r="D38" i="2"/>
  <c r="D97" i="2"/>
  <c r="D185" i="2"/>
  <c r="B2" i="5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" i="5"/>
  <c r="D56" i="2"/>
  <c r="D17" i="2"/>
  <c r="D64" i="2"/>
  <c r="D18" i="2"/>
  <c r="D61" i="2"/>
  <c r="D31" i="2"/>
  <c r="D179" i="2"/>
  <c r="D196" i="2"/>
  <c r="D150" i="2"/>
  <c r="D116" i="2"/>
  <c r="D193" i="2"/>
  <c r="D151" i="2"/>
  <c r="D153" i="2"/>
  <c r="D156" i="2"/>
  <c r="D146" i="2"/>
  <c r="D195" i="2"/>
  <c r="D194" i="2"/>
  <c r="D191" i="2"/>
  <c r="D190" i="2"/>
  <c r="D189" i="2"/>
  <c r="D188" i="2"/>
  <c r="D192" i="2"/>
  <c r="D187" i="2"/>
  <c r="D186" i="2"/>
  <c r="D181" i="2"/>
  <c r="D180" i="2"/>
  <c r="D178" i="2"/>
  <c r="D176" i="2"/>
  <c r="D175" i="2"/>
  <c r="D177" i="2"/>
  <c r="D174" i="2"/>
  <c r="D172" i="2"/>
  <c r="D171" i="2"/>
  <c r="D173" i="2"/>
  <c r="D170" i="2"/>
  <c r="D169" i="2"/>
  <c r="D168" i="2"/>
  <c r="D167" i="2"/>
  <c r="D166" i="2"/>
  <c r="D165" i="2"/>
  <c r="D164" i="2"/>
  <c r="D161" i="2"/>
  <c r="D160" i="2"/>
  <c r="D163" i="2"/>
  <c r="D162" i="2"/>
  <c r="D158" i="2"/>
  <c r="D157" i="2"/>
  <c r="D159" i="2"/>
  <c r="D155" i="2"/>
  <c r="D154" i="2"/>
  <c r="D152" i="2"/>
  <c r="D144" i="2"/>
  <c r="D142" i="2"/>
  <c r="D141" i="2"/>
  <c r="D140" i="2"/>
  <c r="D139" i="2"/>
  <c r="D143" i="2"/>
  <c r="D138" i="2"/>
  <c r="D137" i="2"/>
  <c r="D136" i="2"/>
  <c r="D135" i="2"/>
  <c r="D133" i="2"/>
  <c r="D132" i="2"/>
  <c r="D131" i="2"/>
  <c r="D134" i="2"/>
  <c r="D129" i="2"/>
  <c r="D128" i="2"/>
  <c r="D130" i="2"/>
  <c r="D127" i="2"/>
  <c r="D126" i="2"/>
  <c r="D124" i="2"/>
  <c r="D123" i="2"/>
  <c r="D122" i="2"/>
  <c r="D121" i="2"/>
  <c r="D125" i="2"/>
  <c r="D120" i="2"/>
  <c r="D119" i="2"/>
  <c r="D118" i="2"/>
  <c r="D117" i="2"/>
  <c r="D115" i="2"/>
  <c r="D114" i="2"/>
  <c r="D113" i="2"/>
  <c r="D111" i="2"/>
  <c r="D109" i="2"/>
  <c r="D108" i="2"/>
  <c r="D107" i="2"/>
  <c r="D110" i="2"/>
  <c r="D106" i="2"/>
  <c r="D104" i="2"/>
  <c r="D103" i="2"/>
  <c r="D102" i="2"/>
  <c r="D101" i="2"/>
  <c r="D100" i="2"/>
  <c r="D99" i="2"/>
  <c r="D105" i="2"/>
  <c r="D95" i="2"/>
  <c r="D94" i="2"/>
  <c r="D96" i="2"/>
  <c r="D98" i="2"/>
  <c r="D92" i="2"/>
  <c r="D91" i="2"/>
  <c r="D90" i="2"/>
  <c r="D93" i="2"/>
  <c r="D87" i="2"/>
  <c r="D86" i="2"/>
  <c r="D85" i="2"/>
  <c r="D84" i="2"/>
  <c r="D83" i="2"/>
  <c r="D89" i="2"/>
  <c r="D88" i="2"/>
  <c r="D82" i="2"/>
  <c r="D79" i="2"/>
  <c r="D80" i="2"/>
  <c r="D78" i="2"/>
  <c r="D77" i="2"/>
  <c r="D76" i="2"/>
  <c r="D74" i="2"/>
  <c r="D75" i="2"/>
  <c r="D72" i="2"/>
  <c r="D71" i="2"/>
  <c r="D70" i="2"/>
  <c r="D73" i="2"/>
  <c r="D68" i="2"/>
  <c r="D69" i="2"/>
  <c r="D67" i="2"/>
  <c r="D66" i="2"/>
  <c r="D65" i="2"/>
  <c r="D63" i="2"/>
  <c r="D62" i="2"/>
  <c r="D57" i="2"/>
  <c r="D54" i="2"/>
  <c r="D53" i="2"/>
  <c r="D52" i="2"/>
  <c r="D55" i="2"/>
  <c r="D50" i="2"/>
  <c r="D49" i="2"/>
  <c r="D51" i="2"/>
  <c r="D48" i="2"/>
  <c r="D47" i="2"/>
  <c r="D46" i="2"/>
  <c r="D43" i="2"/>
  <c r="D42" i="2"/>
  <c r="D41" i="2"/>
  <c r="D40" i="2"/>
  <c r="D45" i="2"/>
  <c r="D44" i="2"/>
  <c r="D39" i="2"/>
  <c r="D29" i="2"/>
  <c r="D28" i="2"/>
  <c r="D27" i="2"/>
  <c r="D30" i="2"/>
  <c r="D26" i="2"/>
  <c r="D25" i="2"/>
  <c r="D23" i="2"/>
  <c r="D22" i="2"/>
  <c r="D21" i="2"/>
  <c r="D24" i="2"/>
  <c r="D20" i="2"/>
  <c r="D19" i="2"/>
  <c r="D16" i="2"/>
  <c r="D15" i="2"/>
  <c r="D14" i="2"/>
  <c r="D13" i="2"/>
  <c r="D12" i="2"/>
  <c r="D10" i="2"/>
  <c r="D9" i="2"/>
  <c r="D8" i="2"/>
  <c r="D7" i="2"/>
  <c r="D11" i="2"/>
  <c r="D5" i="2"/>
  <c r="D4" i="2"/>
  <c r="D3" i="2"/>
  <c r="D6" i="2"/>
  <c r="D2" i="2"/>
</calcChain>
</file>

<file path=xl/sharedStrings.xml><?xml version="1.0" encoding="utf-8"?>
<sst xmlns="http://schemas.openxmlformats.org/spreadsheetml/2006/main" count="901" uniqueCount="175">
  <si>
    <t>DINEK</t>
  </si>
  <si>
    <t>CENA</t>
  </si>
  <si>
    <t>typ</t>
  </si>
  <si>
    <t>LVL</t>
  </si>
  <si>
    <t>HP</t>
  </si>
  <si>
    <t>mut HP</t>
  </si>
  <si>
    <t>STAM</t>
  </si>
  <si>
    <t>mut STAM</t>
  </si>
  <si>
    <t>WH</t>
  </si>
  <si>
    <t>mut WH</t>
  </si>
  <si>
    <t>DMG</t>
  </si>
  <si>
    <t>mut DMG</t>
  </si>
  <si>
    <t>OX</t>
  </si>
  <si>
    <t>mut OX</t>
  </si>
  <si>
    <t>FOOD</t>
  </si>
  <si>
    <t>mut FOOD</t>
  </si>
  <si>
    <t>KASTRAT</t>
  </si>
  <si>
    <t>latacz</t>
  </si>
  <si>
    <t>pet</t>
  </si>
  <si>
    <t>gryzak</t>
  </si>
  <si>
    <t>ANDREWSARCHUS-S</t>
  </si>
  <si>
    <t>ANGLERFISH</t>
  </si>
  <si>
    <t>zbieracz</t>
  </si>
  <si>
    <t>ANKYLOSAURUS-S</t>
  </si>
  <si>
    <t>ARCHELON</t>
  </si>
  <si>
    <t>wodny</t>
  </si>
  <si>
    <t>ARGENTAVIS</t>
  </si>
  <si>
    <t>BARYONYX</t>
  </si>
  <si>
    <t>BASILISK</t>
  </si>
  <si>
    <t>BASILOSAURUS</t>
  </si>
  <si>
    <t>BEELZEBUFO</t>
  </si>
  <si>
    <t>BISON</t>
  </si>
  <si>
    <t>BRONTOSAURUS</t>
  </si>
  <si>
    <t>CARCHARODONTOSAURUS</t>
  </si>
  <si>
    <t>CARCHARODONTOSAURUS-S</t>
  </si>
  <si>
    <t>CASTROIDES</t>
  </si>
  <si>
    <t>CAT</t>
  </si>
  <si>
    <t>DAEDON</t>
  </si>
  <si>
    <t>DAEDON-S</t>
  </si>
  <si>
    <t>DEINOTHERIUM</t>
  </si>
  <si>
    <t>DESMODUS-S</t>
  </si>
  <si>
    <t>DIRE BEAR ABERRANT</t>
  </si>
  <si>
    <t>DIREWOLF</t>
  </si>
  <si>
    <t>DOEDICURUS-S</t>
  </si>
  <si>
    <t>DRAKELING</t>
  </si>
  <si>
    <t>DREADMARE</t>
  </si>
  <si>
    <t>DREADNOUGHTUS</t>
  </si>
  <si>
    <t>DUNKLEOSTEUS - S</t>
  </si>
  <si>
    <t>FASOLOZUCHUS</t>
  </si>
  <si>
    <t>FASOLOZUCHUS-S</t>
  </si>
  <si>
    <t>GASBAG</t>
  </si>
  <si>
    <t>GIGANOTORAPTOR</t>
  </si>
  <si>
    <t>GIGANOTOSAURUS</t>
  </si>
  <si>
    <t>GLOWTAIL</t>
  </si>
  <si>
    <t>GRIFFIN - S</t>
  </si>
  <si>
    <t>HESPERONIS</t>
  </si>
  <si>
    <t>JERBOA</t>
  </si>
  <si>
    <t>KARKINOS</t>
  </si>
  <si>
    <t>MAEVING-S</t>
  </si>
  <si>
    <t>MAMMOTH</t>
  </si>
  <si>
    <t>MANAGARMR</t>
  </si>
  <si>
    <t>MANTIS</t>
  </si>
  <si>
    <t>MEGALOCEROS</t>
  </si>
  <si>
    <t>MEGALOSAURUS-S</t>
  </si>
  <si>
    <t>MEGARAPTOR</t>
  </si>
  <si>
    <t>MEGATHERIUM</t>
  </si>
  <si>
    <t>MESOPITEKUS</t>
  </si>
  <si>
    <t>MOSA-S</t>
  </si>
  <si>
    <t>MOSCHOPS ABBERANT</t>
  </si>
  <si>
    <t>OSSIDON-S</t>
  </si>
  <si>
    <t>OTTER</t>
  </si>
  <si>
    <t>OVIS</t>
  </si>
  <si>
    <t>PELARGONIS</t>
  </si>
  <si>
    <t>PLESIOSAUR-S</t>
  </si>
  <si>
    <t>PYROMANE</t>
  </si>
  <si>
    <t>REX</t>
  </si>
  <si>
    <t>REX-S</t>
  </si>
  <si>
    <t>ROCK DRAKE</t>
  </si>
  <si>
    <t>ROLL RAT</t>
  </si>
  <si>
    <t>SNOW OWL</t>
  </si>
  <si>
    <t>SNOW OWL-S</t>
  </si>
  <si>
    <t>TAPEJARA</t>
  </si>
  <si>
    <t>TERROR BIRD</t>
  </si>
  <si>
    <t>THERIZINO</t>
  </si>
  <si>
    <t>THYLACOLEO</t>
  </si>
  <si>
    <t>THYLACOLEO-S</t>
  </si>
  <si>
    <t>TUSO</t>
  </si>
  <si>
    <t>VEILWYN</t>
  </si>
  <si>
    <t>WYVERN FIRE-S</t>
  </si>
  <si>
    <t>WYVERN ICE-S</t>
  </si>
  <si>
    <t>WYVERN LIGHTNING-S</t>
  </si>
  <si>
    <t>YI LING</t>
  </si>
  <si>
    <t>YUTHYRANUS</t>
  </si>
  <si>
    <t>MANAGARMR-S</t>
  </si>
  <si>
    <t>GLOON</t>
  </si>
  <si>
    <t>AURELIAX</t>
  </si>
  <si>
    <t>DLC</t>
  </si>
  <si>
    <t>FT</t>
  </si>
  <si>
    <t>LC</t>
  </si>
  <si>
    <t>PŁODNY</t>
  </si>
  <si>
    <t>(puste)</t>
  </si>
  <si>
    <t>X</t>
  </si>
  <si>
    <t>MUTACJE</t>
  </si>
  <si>
    <t xml:space="preserve"> HP</t>
  </si>
  <si>
    <t xml:space="preserve"> STAM</t>
  </si>
  <si>
    <t xml:space="preserve"> WH</t>
  </si>
  <si>
    <t xml:space="preserve"> DMG</t>
  </si>
  <si>
    <t xml:space="preserve"> OX</t>
  </si>
  <si>
    <t xml:space="preserve"> FOOD</t>
  </si>
  <si>
    <t>SOLWYN</t>
  </si>
  <si>
    <t>MALWYN</t>
  </si>
  <si>
    <t>MAEWING-S</t>
  </si>
  <si>
    <t>ACROCANTHOSAURUS</t>
  </si>
  <si>
    <t>ACROCANTHOSAURUS-S</t>
  </si>
  <si>
    <t>GIGADESMODUS</t>
  </si>
  <si>
    <t>ELDERCLAW</t>
  </si>
  <si>
    <t>DEINONYCHUS</t>
  </si>
  <si>
    <t>SHINEHORN-S</t>
  </si>
  <si>
    <t>GALLIMIMUS</t>
  </si>
  <si>
    <t>SIODLO MAX</t>
  </si>
  <si>
    <t>PHIOMIA</t>
  </si>
  <si>
    <t>PARROT</t>
  </si>
  <si>
    <t>XIPHACTINUS-X</t>
  </si>
  <si>
    <t>MAGMASAUR-S</t>
  </si>
  <si>
    <t>PALAEOCTOPUS</t>
  </si>
  <si>
    <t>TIDEPUP</t>
  </si>
  <si>
    <t>BLOODSTALKER</t>
  </si>
  <si>
    <t>DEINOSUCHUS-S</t>
  </si>
  <si>
    <t>ToF</t>
  </si>
  <si>
    <t>ARANEO ABERRANT</t>
  </si>
  <si>
    <t>CASTOROIDES</t>
  </si>
  <si>
    <t>DAEODON</t>
  </si>
  <si>
    <t>DAEODON-S</t>
  </si>
  <si>
    <t>FASOLASUCHUS</t>
  </si>
  <si>
    <t>FASOLASUCHUS-S</t>
  </si>
  <si>
    <t>GIGANTORAPTOR</t>
  </si>
  <si>
    <t>HESPERORNIS</t>
  </si>
  <si>
    <t>MEGALOSAURUS ABERRANT</t>
  </si>
  <si>
    <t>MESOPITHECUS</t>
  </si>
  <si>
    <t>MOSCHOPS ABERRANT</t>
  </si>
  <si>
    <t>PELAGORNIS</t>
  </si>
  <si>
    <t>YUTYRANNUS</t>
  </si>
  <si>
    <t xml:space="preserve"> CENA </t>
  </si>
  <si>
    <t>GASBAGS</t>
  </si>
  <si>
    <t>MOSASAURUS-S</t>
  </si>
  <si>
    <t>THERIZINOSAUR</t>
  </si>
  <si>
    <t>TUSOTEUTHIS</t>
  </si>
  <si>
    <t>YUTYRANNUS-X</t>
  </si>
  <si>
    <t>ASTROCETUS</t>
  </si>
  <si>
    <t>DIPLODOCUS ABERRANT</t>
  </si>
  <si>
    <t>Gigantopithecus Aberrant</t>
  </si>
  <si>
    <t>Velonasaur - S</t>
  </si>
  <si>
    <t>GIGANTOPITHECUS ABERRANT</t>
  </si>
  <si>
    <t>VELONASAUR - S</t>
  </si>
  <si>
    <t>Boaratos</t>
  </si>
  <si>
    <t>BOARATOS</t>
  </si>
  <si>
    <t>Ferox</t>
  </si>
  <si>
    <t>FEROX</t>
  </si>
  <si>
    <t>Hesperornis - s</t>
  </si>
  <si>
    <t>HESPERORNIS - S</t>
  </si>
  <si>
    <t>Lp.</t>
  </si>
  <si>
    <t>Stworzenie</t>
  </si>
  <si>
    <t>Typ</t>
  </si>
  <si>
    <t>Konfiguracja mutacji</t>
  </si>
  <si>
    <t>Status</t>
  </si>
  <si>
    <t>Cena Minimalna / Do cennika (DD)</t>
  </si>
  <si>
    <t>Cena Sugerowana (DD)</t>
  </si>
  <si>
    <t>4 × 98 pkt (392 pkt)</t>
  </si>
  <si>
    <t>Płodny</t>
  </si>
  <si>
    <t>6 × 98 pkt (588 pkt)</t>
  </si>
  <si>
    <t>4 × 162 pkt (648 pkt)</t>
  </si>
  <si>
    <t>6 × 162 pkt (972 pkt)</t>
  </si>
  <si>
    <t>4 × 255 pkt (1020 pkt)</t>
  </si>
  <si>
    <t>6 × 255 pkt (1530 pkt)</t>
  </si>
  <si>
    <t>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</si>
</sst>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3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  <font>
      <sz val="11"/>
      <color rgb="FF00B050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C00000"/>
      <name val="Calibri"/>
      <family val="2"/>
      <charset val="238"/>
      <scheme val="minor"/>
    </font>
    <font>
      <sz val="11"/>
      <color theme="0" tint="-0.249977111117893"/>
      <name val="Calibri"/>
      <family val="2"/>
      <charset val="238"/>
      <scheme val="minor"/>
    </font>
    <font>
      <sz val="11"/>
      <color theme="9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sz val="11"/>
      <color rgb="FF0070C0"/>
      <name val="Calibri"/>
      <family val="2"/>
      <charset val="238"/>
      <scheme val="minor"/>
    </font>
    <font>
      <sz val="11"/>
      <color rgb="FF7030A0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38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5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164" fontId="1" fillId="0" borderId="0" xfId="1" applyNumberFormat="1" applyFont="1" applyAlignment="1">
      <alignment horizontal="center" vertical="center"/>
    </xf>
    <xf numFmtId="0" fontId="1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164" fontId="0" fillId="0" borderId="0" xfId="0" applyNumberFormat="1"/>
    <xf numFmtId="0" fontId="1" fillId="0" borderId="0" xfId="0" applyFont="1" applyAlignment="1">
      <alignment horizontal="left"/>
    </xf>
    <xf numFmtId="0" fontId="1" fillId="0" borderId="0" xfId="0" applyFont="1"/>
    <xf numFmtId="164" fontId="1" fillId="0" borderId="0" xfId="0" applyNumberFormat="1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left"/>
    </xf>
    <xf numFmtId="0" fontId="9" fillId="0" borderId="0" xfId="0" applyFont="1"/>
    <xf numFmtId="0" fontId="5" fillId="0" borderId="0" xfId="0" applyFont="1" applyAlignment="1">
      <alignment horizontal="center"/>
    </xf>
    <xf numFmtId="0" fontId="5" fillId="0" borderId="0" xfId="0" pivotButton="1" applyFont="1" applyAlignment="1">
      <alignment horizontal="left"/>
    </xf>
    <xf numFmtId="0" fontId="5" fillId="0" borderId="0" xfId="0" applyFont="1" applyAlignment="1">
      <alignment horizontal="left"/>
    </xf>
    <xf numFmtId="0" fontId="0" fillId="0" borderId="0" xfId="0" applyAlignment="1">
      <alignment horizontal="center"/>
    </xf>
    <xf numFmtId="0" fontId="5" fillId="0" borderId="0" xfId="0" pivotButton="1" applyFont="1" applyAlignment="1">
      <alignment horizontal="center"/>
    </xf>
    <xf numFmtId="0" fontId="8" fillId="0" borderId="0" xfId="0" applyFont="1" applyAlignment="1">
      <alignment horizontal="center"/>
    </xf>
    <xf numFmtId="0" fontId="8" fillId="0" borderId="0" xfId="0" applyFont="1"/>
    <xf numFmtId="0" fontId="6" fillId="0" borderId="0" xfId="0" applyFont="1" applyAlignment="1">
      <alignment horizontal="center"/>
    </xf>
    <xf numFmtId="0" fontId="6" fillId="0" borderId="0" xfId="0" applyFont="1"/>
    <xf numFmtId="0" fontId="10" fillId="0" borderId="0" xfId="0" applyFont="1" applyAlignment="1">
      <alignment horizontal="center"/>
    </xf>
    <xf numFmtId="0" fontId="10" fillId="0" borderId="0" xfId="0" applyFont="1"/>
    <xf numFmtId="0" fontId="11" fillId="0" borderId="0" xfId="0" applyFont="1" applyAlignment="1">
      <alignment horizontal="center"/>
    </xf>
    <xf numFmtId="0" fontId="11" fillId="0" borderId="0" xfId="0" applyFont="1"/>
    <xf numFmtId="0" fontId="5" fillId="0" borderId="0" xfId="0" pivotButton="1" applyFont="1" applyAlignment="1">
      <alignment horizontal="right"/>
    </xf>
    <xf numFmtId="0" fontId="2" fillId="0" borderId="0" xfId="0" applyFont="1" applyAlignment="1">
      <alignment horizontal="center" vertical="center"/>
    </xf>
    <xf numFmtId="164" fontId="1" fillId="2" borderId="0" xfId="1" applyNumberFormat="1" applyFont="1" applyFill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3" fontId="0" fillId="0" borderId="0" xfId="0" applyNumberFormat="1"/>
  </cellXfs>
  <cellStyles count="2">
    <cellStyle name="Dziesiętny" xfId="1" builtinId="3"/>
    <cellStyle name="Normalny" xfId="0" builtinId="0"/>
  </cellStyles>
  <dxfs count="883">
    <dxf>
      <alignment horizontal="right"/>
    </dxf>
    <dxf>
      <alignment horizontal="center"/>
    </dxf>
    <dxf>
      <alignment horizontal="left"/>
    </dxf>
    <dxf>
      <font>
        <b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7030A0"/>
      </font>
    </dxf>
    <dxf>
      <font>
        <color rgb="FF0070C0"/>
      </font>
    </dxf>
    <dxf>
      <font>
        <color rgb="FFC00000"/>
      </font>
    </dxf>
    <dxf>
      <font>
        <color theme="9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 val="0"/>
      </font>
    </dxf>
    <dxf>
      <alignment horizontal="center"/>
    </dxf>
    <dxf>
      <font>
        <b/>
      </font>
    </dxf>
    <dxf>
      <alignment horizontal="center"/>
    </dxf>
    <dxf>
      <alignment horizontal="center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vertical="bottom"/>
    </dxf>
    <dxf>
      <alignment vertical="bottom"/>
    </dxf>
    <dxf>
      <alignment vertical="bottom"/>
    </dxf>
    <dxf>
      <alignment vertical="bottom"/>
    </dxf>
    <dxf>
      <alignment vertical="bottom"/>
    </dxf>
    <dxf>
      <alignment vertical="bottom"/>
    </dxf>
    <dxf>
      <alignment vertical="bottom"/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/>
      </font>
    </dxf>
    <dxf>
      <font>
        <b/>
      </font>
    </dxf>
    <dxf>
      <alignment horizontal="left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38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charset val="238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charset val="238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charset val="238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charset val="238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charset val="238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charset val="238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charset val="238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charset val="238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charset val="238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charset val="238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charset val="238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charset val="238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charset val="238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charset val="238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charset val="238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/>
      </font>
      <numFmt numFmtId="0" formatCode="General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38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38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64" formatCode="_-* #,##0_-;\-* #,##0_-;_-* &quot;-&quot;??_-;_-@_-"/>
      <fill>
        <patternFill patternType="solid">
          <fgColor indexed="64"/>
          <bgColor theme="0" tint="-0.34998626667073579"/>
        </patternFill>
      </fill>
      <alignment horizontal="center" vertical="center" textRotation="0" wrapText="0" indent="0" justifyLastLine="0" shrinkToFit="0" readingOrder="0"/>
    </dxf>
    <dxf>
      <font>
        <b/>
      </font>
      <numFmt numFmtId="164" formatCode="_-* #,##0_-;\-* #,##0_-;_-* &quot;-&quot;??_-;_-@_-"/>
      <fill>
        <patternFill patternType="solid">
          <fgColor indexed="64"/>
          <bgColor theme="0" tint="-0.34998626667073579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38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38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dfd7adc501d9bac1/PRYWATNE/gry/Mroczne%20zakamarki/Haluszki/ARK%20shop%20list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na Winogrodzka" refreshedDate="46081.735724189813" createdVersion="8" refreshedVersion="8" minRefreshableVersion="3" recordCount="120" xr:uid="{DB682C93-E452-4918-A8EF-7D6003AF5060}">
  <cacheSource type="worksheet">
    <worksheetSource ref="A1:S121" sheet="SELL" r:id="rId2"/>
  </cacheSource>
  <cacheFields count="19">
    <cacheField name="DINEK" numFmtId="0">
      <sharedItems count="74">
        <s v="ANDREWSARCHUS-S"/>
        <s v="ANGLERFISH"/>
        <s v="ANKYLOSAURUS-S"/>
        <s v="ARCHELON"/>
        <s v="ARGENTAVIS"/>
        <s v="AURELIAX"/>
        <s v="BARYONYX"/>
        <s v="BASILISK"/>
        <s v="BASILOSAURUS"/>
        <s v="BEELZEBUFO"/>
        <s v="BISON"/>
        <s v="BRONTOSAURUS"/>
        <s v="CARCHARODONTOSAURUS"/>
        <s v="CARCHARODONTOSAURUS-S"/>
        <s v="CASTROIDES"/>
        <s v="CAT"/>
        <s v="DAEDON"/>
        <s v="DAEDON-S"/>
        <s v="DEINOTHERIUM"/>
        <s v="DESMODUS-S"/>
        <s v="DIRE BEAR ABERRANT"/>
        <s v="DIREWOLF"/>
        <s v="DOEDICURUS-S"/>
        <s v="DRAKELING"/>
        <s v="DREADMARE"/>
        <s v="DREADNOUGHTUS"/>
        <s v="DUNKLEOSTEUS - S"/>
        <s v="FASOLOZUCHUS"/>
        <s v="FASOLOZUCHUS-S"/>
        <s v="GASBAG"/>
        <s v="GIGANOTORAPTOR"/>
        <s v="GIGANOTOSAURUS"/>
        <s v="GLOON"/>
        <s v="GLOWTAIL"/>
        <s v="GRIFFIN - S"/>
        <s v="HESPERONIS"/>
        <s v="JERBOA"/>
        <s v="KARKINOS"/>
        <s v="MAEVING-S"/>
        <s v="MAMMOTH"/>
        <s v="MANAGARMR"/>
        <s v="MANAGARMR-S"/>
        <s v="MANTIS"/>
        <s v="MEGALOCEROS"/>
        <s v="MEGALOSAURUS-S"/>
        <s v="MEGARAPTOR"/>
        <s v="MEGATHERIUM"/>
        <s v="MESOPITEKUS"/>
        <s v="MOSA-S"/>
        <s v="MOSCHOPS ABBERANT"/>
        <s v="OSSIDON-S"/>
        <s v="OTTER"/>
        <s v="OVIS"/>
        <s v="PELARGONIS"/>
        <s v="PLESIOSAUR-S"/>
        <s v="PYROMANE"/>
        <s v="REX"/>
        <s v="REX-S"/>
        <s v="ROCK DRAKE"/>
        <s v="ROLL RAT"/>
        <s v="SNOW OWL"/>
        <s v="SNOW OWL-S"/>
        <s v="TAPEJARA"/>
        <s v="TERROR BIRD"/>
        <s v="THERIZINO"/>
        <s v="THYLACOLEO"/>
        <s v="THYLACOLEO-S"/>
        <s v="TUSO"/>
        <s v="VEILWYN"/>
        <s v="WYVERN FIRE-S"/>
        <s v="WYVERN ICE-S"/>
        <s v="WYVERN LIGHTNING-S"/>
        <s v="YI LING"/>
        <s v="YUTHYRANUS"/>
      </sharedItems>
    </cacheField>
    <cacheField name="CENA" numFmtId="164">
      <sharedItems containsSemiMixedTypes="0" containsString="0" containsNumber="1" containsInteger="1" minValue="850" maxValue="62000" count="77">
        <n v="6500"/>
        <n v="13000"/>
        <n v="1900"/>
        <n v="1800"/>
        <n v="3500"/>
        <n v="1200"/>
        <n v="7500"/>
        <n v="2100"/>
        <n v="14000"/>
        <n v="16000"/>
        <n v="19200"/>
        <n v="4750"/>
        <n v="1500"/>
        <n v="7000"/>
        <n v="4200"/>
        <n v="8800"/>
        <n v="12500"/>
        <n v="15100"/>
        <n v="20000"/>
        <n v="22100"/>
        <n v="31700"/>
        <n v="10500"/>
        <n v="1400"/>
        <n v="3300"/>
        <n v="8500"/>
        <n v="8000"/>
        <n v="17000"/>
        <n v="19500"/>
        <n v="23700"/>
        <n v="4800"/>
        <n v="5100"/>
        <n v="2500"/>
        <n v="2000"/>
        <n v="3600"/>
        <n v="6000"/>
        <n v="43000"/>
        <n v="51000"/>
        <n v="62000"/>
        <n v="15000"/>
        <n v="5400"/>
        <n v="2900"/>
        <n v="2400"/>
        <n v="4700"/>
        <n v="5500"/>
        <n v="8700"/>
        <n v="12300"/>
        <n v="14700"/>
        <n v="4400"/>
        <n v="15500"/>
        <n v="18500"/>
        <n v="3550"/>
        <n v="850"/>
        <n v="2700"/>
        <n v="6300"/>
        <n v="7600"/>
        <n v="3700"/>
        <n v="12000"/>
        <n v="2600"/>
        <n v="18000"/>
        <n v="1700"/>
        <n v="7400"/>
        <n v="5000"/>
        <n v="6100"/>
        <n v="23000"/>
        <n v="4500"/>
        <n v="2800"/>
        <n v="2200"/>
        <n v="3800"/>
        <n v="9600"/>
        <n v="4000"/>
        <n v="8200"/>
        <n v="8050"/>
        <n v="12750"/>
        <n v="17500"/>
        <n v="21000"/>
        <n v="25100"/>
        <n v="5200"/>
      </sharedItems>
    </cacheField>
    <cacheField name="typ" numFmtId="0">
      <sharedItems count="5">
        <s v="gryzak"/>
        <s v="zbieracz"/>
        <s v="wodny"/>
        <s v="latacz"/>
        <s v="pet"/>
      </sharedItems>
    </cacheField>
    <cacheField name="LVL" numFmtId="0">
      <sharedItems containsSemiMixedTypes="0" containsString="0" containsNumber="1" containsInteger="1" minValue="450" maxValue="2052" count="97">
        <n v="873"/>
        <n v="1265"/>
        <n v="700"/>
        <n v="745"/>
        <n v="773"/>
        <n v="774"/>
        <n v="750"/>
        <n v="768"/>
        <n v="824"/>
        <n v="1216"/>
        <n v="1464"/>
        <n v="1844"/>
        <n v="771"/>
        <n v="758"/>
        <n v="792"/>
        <n v="749"/>
        <n v="739"/>
        <n v="815"/>
        <n v="954"/>
        <n v="1325"/>
        <n v="1207"/>
        <n v="1835"/>
        <n v="732"/>
        <n v="766"/>
        <n v="777"/>
        <n v="1267"/>
        <n v="2052"/>
        <n v="832"/>
        <n v="1224"/>
        <n v="1472"/>
        <n v="1852"/>
        <n v="723"/>
        <n v="785"/>
        <n v="734"/>
        <n v="736"/>
        <n v="746"/>
        <n v="942"/>
        <n v="784"/>
        <n v="1176"/>
        <n v="1424"/>
        <n v="1804"/>
        <n v="801"/>
        <n v="743"/>
        <n v="450"/>
        <n v="762"/>
        <n v="1056"/>
        <n v="1242"/>
        <n v="1527"/>
        <n v="733"/>
        <n v="772"/>
        <n v="968"/>
        <n v="1066"/>
        <n v="850"/>
        <n v="779"/>
        <n v="741"/>
        <n v="726"/>
        <n v="803"/>
        <n v="738"/>
        <n v="775"/>
        <n v="971"/>
        <n v="1095"/>
        <n v="1285"/>
        <n v="1795"/>
        <n v="791"/>
        <n v="826"/>
        <n v="1218"/>
        <n v="821"/>
        <n v="783"/>
        <n v="752"/>
        <n v="844"/>
        <n v="809"/>
        <n v="1201"/>
        <n v="800"/>
        <n v="753"/>
        <n v="740"/>
        <n v="512"/>
        <n v="1150"/>
        <n v="820"/>
        <n v="1212"/>
        <n v="1840"/>
        <n v="767"/>
        <n v="790"/>
        <n v="748"/>
        <n v="1092"/>
        <n v="1720"/>
        <n v="761"/>
        <n v="765"/>
        <n v="961"/>
        <n v="1059"/>
        <n v="735"/>
        <n v="822"/>
        <n v="808"/>
        <n v="806"/>
        <n v="999"/>
        <n v="1195"/>
        <n v="1451"/>
        <n v="1823"/>
      </sharedItems>
    </cacheField>
    <cacheField name="HP" numFmtId="0">
      <sharedItems containsSemiMixedTypes="0" containsString="0" containsNumber="1" containsInteger="1" minValue="74" maxValue="166"/>
    </cacheField>
    <cacheField name="mut HP" numFmtId="0">
      <sharedItems containsString="0" containsBlank="1" containsNumber="1" containsInteger="1" minValue="98" maxValue="255" count="5">
        <m/>
        <n v="98"/>
        <n v="160"/>
        <n v="255"/>
        <n v="162"/>
      </sharedItems>
    </cacheField>
    <cacheField name="STAM" numFmtId="0">
      <sharedItems containsSemiMixedTypes="0" containsString="0" containsNumber="1" containsInteger="1" minValue="68" maxValue="166"/>
    </cacheField>
    <cacheField name="mut STAM" numFmtId="0">
      <sharedItems containsString="0" containsBlank="1" containsNumber="1" containsInteger="1" minValue="98" maxValue="255"/>
    </cacheField>
    <cacheField name="WH" numFmtId="0">
      <sharedItems containsSemiMixedTypes="0" containsString="0" containsNumber="1" containsInteger="1" minValue="78" maxValue="173"/>
    </cacheField>
    <cacheField name="mut WH" numFmtId="0">
      <sharedItems containsString="0" containsBlank="1" containsNumber="1" containsInteger="1" minValue="98" maxValue="255"/>
    </cacheField>
    <cacheField name="DMG" numFmtId="0">
      <sharedItems containsSemiMixedTypes="0" containsString="0" containsNumber="1" containsInteger="1" minValue="83" maxValue="178"/>
    </cacheField>
    <cacheField name="mut DMG" numFmtId="0">
      <sharedItems containsString="0" containsBlank="1" containsNumber="1" containsInteger="1" minValue="98" maxValue="255"/>
    </cacheField>
    <cacheField name="OX" numFmtId="0">
      <sharedItems containsString="0" containsBlank="1" containsNumber="1" containsInteger="1" minValue="72" maxValue="151"/>
    </cacheField>
    <cacheField name="mut OX" numFmtId="0">
      <sharedItems containsString="0" containsBlank="1" containsNumber="1" containsInteger="1" minValue="98" maxValue="255"/>
    </cacheField>
    <cacheField name="FOOD" numFmtId="0">
      <sharedItems containsSemiMixedTypes="0" containsString="0" containsNumber="1" containsInteger="1" minValue="64" maxValue="158"/>
    </cacheField>
    <cacheField name="mut FOOD" numFmtId="0">
      <sharedItems containsString="0" containsBlank="1" containsNumber="1" containsInteger="1" minValue="98" maxValue="255"/>
    </cacheField>
    <cacheField name="KASTRAT" numFmtId="0">
      <sharedItems count="2">
        <s v="PŁODNY"/>
        <s v="KASTRAT"/>
      </sharedItems>
    </cacheField>
    <cacheField name="DLC" numFmtId="0">
      <sharedItems containsBlank="1"/>
    </cacheField>
    <cacheField name="MUTACJI" numFmtId="164">
      <sharedItems containsSemiMixedTypes="0" containsString="0" containsNumber="1" containsInteger="1" minValue="0" maxValue="5" count="6">
        <n v="0"/>
        <n v="4"/>
        <n v="2"/>
        <n v="5"/>
        <n v="3"/>
        <n v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">
  <r>
    <x v="0"/>
    <x v="0"/>
    <x v="0"/>
    <x v="0"/>
    <n v="140"/>
    <x v="0"/>
    <n v="139"/>
    <m/>
    <n v="149"/>
    <m/>
    <n v="147"/>
    <m/>
    <n v="142"/>
    <m/>
    <n v="155"/>
    <m/>
    <x v="0"/>
    <m/>
    <x v="0"/>
  </r>
  <r>
    <x v="0"/>
    <x v="1"/>
    <x v="0"/>
    <x v="1"/>
    <n v="140"/>
    <x v="1"/>
    <n v="139"/>
    <n v="98"/>
    <n v="149"/>
    <n v="98"/>
    <n v="147"/>
    <n v="98"/>
    <n v="142"/>
    <m/>
    <n v="155"/>
    <m/>
    <x v="0"/>
    <m/>
    <x v="1"/>
  </r>
  <r>
    <x v="1"/>
    <x v="2"/>
    <x v="1"/>
    <x v="2"/>
    <n v="117"/>
    <x v="0"/>
    <n v="144"/>
    <m/>
    <n v="160"/>
    <m/>
    <n v="149"/>
    <m/>
    <m/>
    <m/>
    <n v="129"/>
    <m/>
    <x v="0"/>
    <m/>
    <x v="0"/>
  </r>
  <r>
    <x v="2"/>
    <x v="3"/>
    <x v="1"/>
    <x v="3"/>
    <n v="114"/>
    <x v="0"/>
    <n v="123"/>
    <m/>
    <n v="136"/>
    <m/>
    <n v="135"/>
    <m/>
    <n v="106"/>
    <m/>
    <n v="130"/>
    <m/>
    <x v="0"/>
    <m/>
    <x v="0"/>
  </r>
  <r>
    <x v="3"/>
    <x v="4"/>
    <x v="2"/>
    <x v="4"/>
    <n v="152"/>
    <x v="0"/>
    <n v="157"/>
    <m/>
    <n v="160"/>
    <m/>
    <n v="161"/>
    <m/>
    <m/>
    <m/>
    <n v="142"/>
    <m/>
    <x v="0"/>
    <m/>
    <x v="0"/>
  </r>
  <r>
    <x v="4"/>
    <x v="5"/>
    <x v="3"/>
    <x v="5"/>
    <n v="132"/>
    <x v="0"/>
    <n v="153"/>
    <m/>
    <n v="144"/>
    <m/>
    <n v="130"/>
    <m/>
    <n v="116"/>
    <m/>
    <n v="98"/>
    <m/>
    <x v="0"/>
    <m/>
    <x v="0"/>
  </r>
  <r>
    <x v="5"/>
    <x v="6"/>
    <x v="3"/>
    <x v="6"/>
    <n v="141"/>
    <x v="0"/>
    <n v="126"/>
    <m/>
    <n v="125"/>
    <m/>
    <n v="131"/>
    <m/>
    <n v="110"/>
    <m/>
    <n v="116"/>
    <m/>
    <x v="0"/>
    <s v="LC"/>
    <x v="0"/>
  </r>
  <r>
    <x v="6"/>
    <x v="7"/>
    <x v="0"/>
    <x v="7"/>
    <n v="158"/>
    <x v="0"/>
    <n v="166"/>
    <m/>
    <n v="152"/>
    <m/>
    <n v="154"/>
    <m/>
    <m/>
    <m/>
    <n v="137"/>
    <m/>
    <x v="0"/>
    <m/>
    <x v="0"/>
  </r>
  <r>
    <x v="7"/>
    <x v="0"/>
    <x v="0"/>
    <x v="8"/>
    <n v="160"/>
    <x v="0"/>
    <n v="165"/>
    <m/>
    <n v="173"/>
    <m/>
    <n v="178"/>
    <m/>
    <m/>
    <m/>
    <n v="147"/>
    <m/>
    <x v="0"/>
    <m/>
    <x v="0"/>
  </r>
  <r>
    <x v="7"/>
    <x v="8"/>
    <x v="0"/>
    <x v="9"/>
    <n v="160"/>
    <x v="1"/>
    <n v="165"/>
    <n v="98"/>
    <n v="173"/>
    <n v="98"/>
    <n v="178"/>
    <n v="98"/>
    <m/>
    <m/>
    <n v="147"/>
    <m/>
    <x v="0"/>
    <m/>
    <x v="1"/>
  </r>
  <r>
    <x v="7"/>
    <x v="9"/>
    <x v="0"/>
    <x v="10"/>
    <n v="160"/>
    <x v="2"/>
    <n v="165"/>
    <n v="160"/>
    <n v="173"/>
    <n v="160"/>
    <n v="178"/>
    <n v="160"/>
    <m/>
    <m/>
    <n v="147"/>
    <m/>
    <x v="1"/>
    <m/>
    <x v="1"/>
  </r>
  <r>
    <x v="7"/>
    <x v="10"/>
    <x v="0"/>
    <x v="11"/>
    <n v="160"/>
    <x v="3"/>
    <n v="165"/>
    <n v="255"/>
    <n v="173"/>
    <n v="255"/>
    <n v="178"/>
    <n v="255"/>
    <m/>
    <m/>
    <n v="147"/>
    <m/>
    <x v="1"/>
    <m/>
    <x v="1"/>
  </r>
  <r>
    <x v="8"/>
    <x v="11"/>
    <x v="2"/>
    <x v="12"/>
    <n v="155"/>
    <x v="0"/>
    <n v="152"/>
    <m/>
    <n v="163"/>
    <m/>
    <n v="154"/>
    <m/>
    <m/>
    <m/>
    <n v="146"/>
    <m/>
    <x v="0"/>
    <m/>
    <x v="0"/>
  </r>
  <r>
    <x v="9"/>
    <x v="12"/>
    <x v="2"/>
    <x v="13"/>
    <n v="161"/>
    <x v="0"/>
    <n v="140"/>
    <m/>
    <n v="170"/>
    <m/>
    <n v="155"/>
    <m/>
    <m/>
    <m/>
    <n v="131"/>
    <m/>
    <x v="0"/>
    <m/>
    <x v="0"/>
  </r>
  <r>
    <x v="10"/>
    <x v="13"/>
    <x v="1"/>
    <x v="14"/>
    <n v="146"/>
    <x v="0"/>
    <n v="125"/>
    <m/>
    <n v="139"/>
    <m/>
    <n v="139"/>
    <m/>
    <n v="110"/>
    <m/>
    <n v="132"/>
    <m/>
    <x v="0"/>
    <m/>
    <x v="0"/>
  </r>
  <r>
    <x v="11"/>
    <x v="14"/>
    <x v="1"/>
    <x v="15"/>
    <n v="129"/>
    <x v="0"/>
    <n v="133"/>
    <m/>
    <n v="127"/>
    <m/>
    <n v="134"/>
    <m/>
    <n v="113"/>
    <m/>
    <n v="112"/>
    <m/>
    <x v="0"/>
    <m/>
    <x v="0"/>
  </r>
  <r>
    <x v="12"/>
    <x v="15"/>
    <x v="0"/>
    <x v="16"/>
    <n v="128"/>
    <x v="0"/>
    <n v="129"/>
    <m/>
    <n v="115"/>
    <m/>
    <n v="135"/>
    <m/>
    <n v="124"/>
    <m/>
    <n v="107"/>
    <m/>
    <x v="0"/>
    <m/>
    <x v="0"/>
  </r>
  <r>
    <x v="12"/>
    <x v="16"/>
    <x v="0"/>
    <x v="17"/>
    <n v="143"/>
    <x v="0"/>
    <n v="146"/>
    <m/>
    <n v="140"/>
    <m/>
    <n v="144"/>
    <m/>
    <n v="124"/>
    <m/>
    <n v="117"/>
    <m/>
    <x v="0"/>
    <m/>
    <x v="0"/>
  </r>
  <r>
    <x v="12"/>
    <x v="17"/>
    <x v="0"/>
    <x v="18"/>
    <n v="136"/>
    <x v="1"/>
    <n v="129"/>
    <m/>
    <n v="115"/>
    <m/>
    <n v="136"/>
    <n v="98"/>
    <n v="124"/>
    <m/>
    <n v="117"/>
    <m/>
    <x v="0"/>
    <m/>
    <x v="2"/>
  </r>
  <r>
    <x v="12"/>
    <x v="18"/>
    <x v="0"/>
    <x v="19"/>
    <n v="143"/>
    <x v="3"/>
    <n v="146"/>
    <m/>
    <n v="140"/>
    <m/>
    <n v="144"/>
    <n v="255"/>
    <n v="124"/>
    <m/>
    <n v="117"/>
    <m/>
    <x v="1"/>
    <m/>
    <x v="2"/>
  </r>
  <r>
    <x v="12"/>
    <x v="19"/>
    <x v="0"/>
    <x v="20"/>
    <n v="143"/>
    <x v="1"/>
    <n v="146"/>
    <n v="98"/>
    <n v="140"/>
    <n v="98"/>
    <n v="144"/>
    <n v="98"/>
    <n v="124"/>
    <m/>
    <n v="117"/>
    <m/>
    <x v="0"/>
    <m/>
    <x v="1"/>
  </r>
  <r>
    <x v="12"/>
    <x v="20"/>
    <x v="0"/>
    <x v="21"/>
    <n v="143"/>
    <x v="3"/>
    <n v="146"/>
    <n v="255"/>
    <n v="140"/>
    <n v="255"/>
    <n v="144"/>
    <n v="255"/>
    <n v="124"/>
    <m/>
    <n v="117"/>
    <m/>
    <x v="1"/>
    <m/>
    <x v="1"/>
  </r>
  <r>
    <x v="13"/>
    <x v="21"/>
    <x v="0"/>
    <x v="22"/>
    <n v="126"/>
    <x v="0"/>
    <n v="111"/>
    <m/>
    <n v="119"/>
    <m/>
    <n v="144"/>
    <m/>
    <n v="121"/>
    <m/>
    <n v="110"/>
    <m/>
    <x v="0"/>
    <m/>
    <x v="0"/>
  </r>
  <r>
    <x v="14"/>
    <x v="22"/>
    <x v="1"/>
    <x v="0"/>
    <n v="146"/>
    <x v="0"/>
    <n v="145"/>
    <m/>
    <n v="149"/>
    <m/>
    <n v="148"/>
    <m/>
    <n v="145"/>
    <m/>
    <n v="139"/>
    <m/>
    <x v="0"/>
    <m/>
    <x v="0"/>
  </r>
  <r>
    <x v="15"/>
    <x v="12"/>
    <x v="4"/>
    <x v="23"/>
    <n v="118"/>
    <x v="0"/>
    <n v="135"/>
    <m/>
    <n v="131"/>
    <m/>
    <n v="125"/>
    <m/>
    <n v="126"/>
    <m/>
    <n v="130"/>
    <m/>
    <x v="0"/>
    <m/>
    <x v="0"/>
  </r>
  <r>
    <x v="16"/>
    <x v="23"/>
    <x v="0"/>
    <x v="24"/>
    <n v="143"/>
    <x v="0"/>
    <n v="114"/>
    <m/>
    <n v="121"/>
    <m/>
    <n v="135"/>
    <m/>
    <n v="118"/>
    <m/>
    <n v="145"/>
    <m/>
    <x v="0"/>
    <m/>
    <x v="0"/>
  </r>
  <r>
    <x v="16"/>
    <x v="24"/>
    <x v="0"/>
    <x v="25"/>
    <n v="143"/>
    <x v="1"/>
    <n v="114"/>
    <n v="98"/>
    <n v="121"/>
    <n v="98"/>
    <n v="135"/>
    <n v="98"/>
    <n v="118"/>
    <m/>
    <n v="145"/>
    <n v="98"/>
    <x v="0"/>
    <m/>
    <x v="3"/>
  </r>
  <r>
    <x v="16"/>
    <x v="16"/>
    <x v="0"/>
    <x v="26"/>
    <n v="143"/>
    <x v="3"/>
    <n v="114"/>
    <n v="255"/>
    <n v="121"/>
    <n v="255"/>
    <n v="135"/>
    <n v="255"/>
    <n v="118"/>
    <m/>
    <n v="145"/>
    <n v="255"/>
    <x v="1"/>
    <m/>
    <x v="3"/>
  </r>
  <r>
    <x v="17"/>
    <x v="25"/>
    <x v="0"/>
    <x v="27"/>
    <n v="145"/>
    <x v="0"/>
    <n v="137"/>
    <m/>
    <n v="143"/>
    <m/>
    <n v="154"/>
    <m/>
    <n v="129"/>
    <m/>
    <n v="123"/>
    <m/>
    <x v="0"/>
    <m/>
    <x v="0"/>
  </r>
  <r>
    <x v="17"/>
    <x v="26"/>
    <x v="0"/>
    <x v="28"/>
    <n v="145"/>
    <x v="1"/>
    <n v="137"/>
    <n v="98"/>
    <n v="143"/>
    <n v="98"/>
    <n v="154"/>
    <n v="98"/>
    <n v="129"/>
    <m/>
    <n v="123"/>
    <m/>
    <x v="0"/>
    <m/>
    <x v="1"/>
  </r>
  <r>
    <x v="17"/>
    <x v="27"/>
    <x v="0"/>
    <x v="29"/>
    <n v="145"/>
    <x v="2"/>
    <n v="137"/>
    <n v="160"/>
    <n v="143"/>
    <n v="160"/>
    <n v="154"/>
    <n v="160"/>
    <n v="129"/>
    <m/>
    <n v="123"/>
    <m/>
    <x v="1"/>
    <m/>
    <x v="1"/>
  </r>
  <r>
    <x v="17"/>
    <x v="28"/>
    <x v="0"/>
    <x v="30"/>
    <n v="145"/>
    <x v="3"/>
    <n v="137"/>
    <n v="255"/>
    <n v="143"/>
    <n v="255"/>
    <n v="154"/>
    <n v="255"/>
    <n v="129"/>
    <m/>
    <n v="123"/>
    <m/>
    <x v="1"/>
    <m/>
    <x v="1"/>
  </r>
  <r>
    <x v="18"/>
    <x v="29"/>
    <x v="1"/>
    <x v="31"/>
    <n v="134"/>
    <x v="0"/>
    <n v="125"/>
    <m/>
    <n v="105"/>
    <m/>
    <n v="134"/>
    <m/>
    <n v="112"/>
    <m/>
    <n v="112"/>
    <m/>
    <x v="0"/>
    <m/>
    <x v="0"/>
  </r>
  <r>
    <x v="19"/>
    <x v="30"/>
    <x v="3"/>
    <x v="32"/>
    <n v="143"/>
    <x v="0"/>
    <n v="132"/>
    <m/>
    <n v="138"/>
    <m/>
    <n v="139"/>
    <m/>
    <n v="122"/>
    <m/>
    <n v="110"/>
    <m/>
    <x v="0"/>
    <m/>
    <x v="0"/>
  </r>
  <r>
    <x v="20"/>
    <x v="31"/>
    <x v="1"/>
    <x v="7"/>
    <n v="135"/>
    <x v="0"/>
    <n v="142"/>
    <m/>
    <n v="135"/>
    <m/>
    <n v="134"/>
    <m/>
    <n v="116"/>
    <m/>
    <n v="105"/>
    <m/>
    <x v="0"/>
    <m/>
    <x v="0"/>
  </r>
  <r>
    <x v="21"/>
    <x v="32"/>
    <x v="0"/>
    <x v="33"/>
    <n v="127"/>
    <x v="0"/>
    <n v="113"/>
    <m/>
    <n v="124"/>
    <m/>
    <n v="126"/>
    <m/>
    <n v="123"/>
    <m/>
    <n v="120"/>
    <m/>
    <x v="0"/>
    <m/>
    <x v="0"/>
  </r>
  <r>
    <x v="22"/>
    <x v="3"/>
    <x v="1"/>
    <x v="34"/>
    <n v="125"/>
    <x v="0"/>
    <n v="130"/>
    <m/>
    <n v="127"/>
    <m/>
    <n v="128"/>
    <m/>
    <n v="109"/>
    <m/>
    <n v="116"/>
    <m/>
    <x v="0"/>
    <m/>
    <x v="0"/>
  </r>
  <r>
    <x v="23"/>
    <x v="33"/>
    <x v="4"/>
    <x v="35"/>
    <n v="141"/>
    <x v="0"/>
    <n v="122"/>
    <m/>
    <n v="125"/>
    <m/>
    <n v="137"/>
    <m/>
    <n v="113"/>
    <m/>
    <n v="107"/>
    <m/>
    <x v="0"/>
    <s v="FT"/>
    <x v="0"/>
  </r>
  <r>
    <x v="23"/>
    <x v="34"/>
    <x v="4"/>
    <x v="36"/>
    <n v="141"/>
    <x v="1"/>
    <n v="122"/>
    <m/>
    <n v="125"/>
    <m/>
    <n v="137"/>
    <n v="98"/>
    <n v="113"/>
    <m/>
    <n v="107"/>
    <m/>
    <x v="0"/>
    <s v="FT"/>
    <x v="2"/>
  </r>
  <r>
    <x v="24"/>
    <x v="9"/>
    <x v="3"/>
    <x v="37"/>
    <n v="141"/>
    <x v="0"/>
    <n v="130"/>
    <m/>
    <n v="138"/>
    <m/>
    <n v="140"/>
    <m/>
    <n v="118"/>
    <m/>
    <n v="116"/>
    <m/>
    <x v="1"/>
    <s v="FT"/>
    <x v="0"/>
  </r>
  <r>
    <x v="24"/>
    <x v="18"/>
    <x v="3"/>
    <x v="37"/>
    <n v="141"/>
    <x v="0"/>
    <n v="130"/>
    <m/>
    <n v="138"/>
    <m/>
    <n v="140"/>
    <m/>
    <n v="118"/>
    <m/>
    <n v="116"/>
    <m/>
    <x v="0"/>
    <s v="FT"/>
    <x v="0"/>
  </r>
  <r>
    <x v="24"/>
    <x v="35"/>
    <x v="3"/>
    <x v="38"/>
    <n v="141"/>
    <x v="1"/>
    <n v="130"/>
    <n v="98"/>
    <n v="138"/>
    <n v="98"/>
    <n v="140"/>
    <n v="98"/>
    <n v="118"/>
    <m/>
    <n v="116"/>
    <m/>
    <x v="0"/>
    <s v="FT"/>
    <x v="1"/>
  </r>
  <r>
    <x v="24"/>
    <x v="36"/>
    <x v="3"/>
    <x v="39"/>
    <n v="141"/>
    <x v="2"/>
    <n v="130"/>
    <n v="160"/>
    <n v="138"/>
    <n v="160"/>
    <n v="140"/>
    <n v="160"/>
    <n v="118"/>
    <m/>
    <n v="116"/>
    <m/>
    <x v="1"/>
    <s v="FT"/>
    <x v="1"/>
  </r>
  <r>
    <x v="24"/>
    <x v="37"/>
    <x v="3"/>
    <x v="40"/>
    <n v="141"/>
    <x v="3"/>
    <n v="130"/>
    <n v="255"/>
    <n v="138"/>
    <n v="255"/>
    <n v="140"/>
    <n v="255"/>
    <n v="118"/>
    <m/>
    <n v="116"/>
    <m/>
    <x v="1"/>
    <s v="FT"/>
    <x v="1"/>
  </r>
  <r>
    <x v="25"/>
    <x v="38"/>
    <x v="0"/>
    <x v="41"/>
    <n v="134"/>
    <x v="0"/>
    <n v="146"/>
    <m/>
    <n v="135"/>
    <m/>
    <n v="146"/>
    <m/>
    <n v="117"/>
    <m/>
    <n v="122"/>
    <m/>
    <x v="0"/>
    <m/>
    <x v="0"/>
  </r>
  <r>
    <x v="26"/>
    <x v="39"/>
    <x v="2"/>
    <x v="42"/>
    <n v="153"/>
    <x v="0"/>
    <n v="150"/>
    <m/>
    <n v="145"/>
    <m/>
    <n v="151"/>
    <m/>
    <m/>
    <m/>
    <n v="143"/>
    <m/>
    <x v="0"/>
    <m/>
    <x v="0"/>
  </r>
  <r>
    <x v="27"/>
    <x v="40"/>
    <x v="1"/>
    <x v="43"/>
    <n v="74"/>
    <x v="0"/>
    <n v="68"/>
    <m/>
    <n v="78"/>
    <m/>
    <n v="93"/>
    <m/>
    <n v="72"/>
    <m/>
    <n v="64"/>
    <m/>
    <x v="0"/>
    <m/>
    <x v="0"/>
  </r>
  <r>
    <x v="28"/>
    <x v="38"/>
    <x v="1"/>
    <x v="7"/>
    <n v="132"/>
    <x v="0"/>
    <n v="131"/>
    <m/>
    <n v="133"/>
    <m/>
    <n v="130"/>
    <m/>
    <n v="125"/>
    <m/>
    <n v="116"/>
    <m/>
    <x v="0"/>
    <m/>
    <x v="0"/>
  </r>
  <r>
    <x v="29"/>
    <x v="41"/>
    <x v="3"/>
    <x v="44"/>
    <n v="132"/>
    <x v="0"/>
    <n v="117"/>
    <m/>
    <n v="136"/>
    <m/>
    <n v="111"/>
    <m/>
    <n v="135"/>
    <m/>
    <n v="130"/>
    <m/>
    <x v="0"/>
    <m/>
    <x v="0"/>
  </r>
  <r>
    <x v="29"/>
    <x v="42"/>
    <x v="3"/>
    <x v="45"/>
    <n v="132"/>
    <x v="1"/>
    <n v="117"/>
    <m/>
    <n v="136"/>
    <n v="98"/>
    <n v="111"/>
    <m/>
    <n v="135"/>
    <n v="98"/>
    <n v="130"/>
    <m/>
    <x v="0"/>
    <m/>
    <x v="4"/>
  </r>
  <r>
    <x v="29"/>
    <x v="43"/>
    <x v="3"/>
    <x v="46"/>
    <n v="132"/>
    <x v="2"/>
    <n v="117"/>
    <m/>
    <n v="136"/>
    <n v="160"/>
    <n v="111"/>
    <m/>
    <n v="135"/>
    <n v="160"/>
    <n v="130"/>
    <m/>
    <x v="1"/>
    <m/>
    <x v="4"/>
  </r>
  <r>
    <x v="29"/>
    <x v="34"/>
    <x v="3"/>
    <x v="47"/>
    <n v="132"/>
    <x v="3"/>
    <n v="117"/>
    <m/>
    <n v="136"/>
    <n v="255"/>
    <n v="111"/>
    <m/>
    <n v="135"/>
    <n v="255"/>
    <n v="130"/>
    <m/>
    <x v="1"/>
    <m/>
    <x v="4"/>
  </r>
  <r>
    <x v="30"/>
    <x v="44"/>
    <x v="1"/>
    <x v="48"/>
    <n v="134"/>
    <x v="0"/>
    <n v="121"/>
    <m/>
    <n v="104"/>
    <m/>
    <n v="137"/>
    <m/>
    <n v="125"/>
    <m/>
    <n v="111"/>
    <m/>
    <x v="0"/>
    <m/>
    <x v="0"/>
  </r>
  <r>
    <x v="31"/>
    <x v="24"/>
    <x v="0"/>
    <x v="49"/>
    <n v="131"/>
    <x v="0"/>
    <n v="138"/>
    <m/>
    <n v="151"/>
    <m/>
    <n v="135"/>
    <m/>
    <n v="114"/>
    <m/>
    <n v="102"/>
    <m/>
    <x v="0"/>
    <m/>
    <x v="0"/>
  </r>
  <r>
    <x v="31"/>
    <x v="45"/>
    <x v="0"/>
    <x v="50"/>
    <n v="131"/>
    <x v="1"/>
    <n v="138"/>
    <m/>
    <n v="151"/>
    <m/>
    <n v="135"/>
    <n v="98"/>
    <n v="114"/>
    <m/>
    <n v="102"/>
    <m/>
    <x v="0"/>
    <m/>
    <x v="2"/>
  </r>
  <r>
    <x v="31"/>
    <x v="46"/>
    <x v="0"/>
    <x v="51"/>
    <n v="131"/>
    <x v="1"/>
    <n v="138"/>
    <m/>
    <n v="151"/>
    <n v="98"/>
    <n v="135"/>
    <n v="98"/>
    <n v="114"/>
    <m/>
    <n v="102"/>
    <m/>
    <x v="0"/>
    <m/>
    <x v="4"/>
  </r>
  <r>
    <x v="32"/>
    <x v="47"/>
    <x v="4"/>
    <x v="52"/>
    <n v="145"/>
    <x v="0"/>
    <n v="140"/>
    <m/>
    <n v="140"/>
    <m/>
    <n v="141"/>
    <m/>
    <n v="141"/>
    <m/>
    <n v="142"/>
    <m/>
    <x v="0"/>
    <s v="LC"/>
    <x v="0"/>
  </r>
  <r>
    <x v="33"/>
    <x v="5"/>
    <x v="4"/>
    <x v="53"/>
    <n v="121"/>
    <x v="0"/>
    <n v="132"/>
    <m/>
    <n v="146"/>
    <m/>
    <n v="127"/>
    <m/>
    <n v="127"/>
    <m/>
    <n v="125"/>
    <m/>
    <x v="0"/>
    <m/>
    <x v="0"/>
  </r>
  <r>
    <x v="34"/>
    <x v="0"/>
    <x v="3"/>
    <x v="8"/>
    <n v="142"/>
    <x v="0"/>
    <n v="148"/>
    <m/>
    <n v="150"/>
    <m/>
    <n v="143"/>
    <m/>
    <n v="122"/>
    <m/>
    <n v="118"/>
    <m/>
    <x v="0"/>
    <m/>
    <x v="0"/>
  </r>
  <r>
    <x v="34"/>
    <x v="1"/>
    <x v="3"/>
    <x v="9"/>
    <n v="142"/>
    <x v="1"/>
    <n v="148"/>
    <n v="98"/>
    <n v="150"/>
    <n v="98"/>
    <n v="143"/>
    <n v="98"/>
    <n v="122"/>
    <m/>
    <n v="118"/>
    <m/>
    <x v="0"/>
    <m/>
    <x v="1"/>
  </r>
  <r>
    <x v="34"/>
    <x v="48"/>
    <x v="3"/>
    <x v="10"/>
    <n v="142"/>
    <x v="2"/>
    <n v="148"/>
    <n v="160"/>
    <n v="150"/>
    <n v="160"/>
    <n v="143"/>
    <n v="160"/>
    <n v="122"/>
    <m/>
    <n v="118"/>
    <m/>
    <x v="1"/>
    <m/>
    <x v="1"/>
  </r>
  <r>
    <x v="34"/>
    <x v="49"/>
    <x v="3"/>
    <x v="11"/>
    <n v="142"/>
    <x v="3"/>
    <n v="148"/>
    <n v="255"/>
    <n v="150"/>
    <n v="255"/>
    <n v="143"/>
    <n v="255"/>
    <n v="122"/>
    <m/>
    <n v="118"/>
    <m/>
    <x v="1"/>
    <m/>
    <x v="1"/>
  </r>
  <r>
    <x v="35"/>
    <x v="50"/>
    <x v="4"/>
    <x v="54"/>
    <n v="164"/>
    <x v="0"/>
    <n v="138"/>
    <m/>
    <n v="153"/>
    <m/>
    <n v="149"/>
    <m/>
    <m/>
    <m/>
    <n v="136"/>
    <m/>
    <x v="0"/>
    <m/>
    <x v="0"/>
  </r>
  <r>
    <x v="36"/>
    <x v="51"/>
    <x v="4"/>
    <x v="55"/>
    <n v="123"/>
    <x v="0"/>
    <n v="125"/>
    <m/>
    <n v="123"/>
    <m/>
    <n v="138"/>
    <m/>
    <n v="104"/>
    <m/>
    <n v="112"/>
    <m/>
    <x v="0"/>
    <m/>
    <x v="0"/>
  </r>
  <r>
    <x v="37"/>
    <x v="24"/>
    <x v="1"/>
    <x v="56"/>
    <n v="163"/>
    <x v="0"/>
    <n v="161"/>
    <m/>
    <n v="167"/>
    <m/>
    <n v="169"/>
    <m/>
    <m/>
    <m/>
    <n v="142"/>
    <m/>
    <x v="0"/>
    <m/>
    <x v="0"/>
  </r>
  <r>
    <x v="38"/>
    <x v="52"/>
    <x v="3"/>
    <x v="53"/>
    <n v="132"/>
    <x v="0"/>
    <n v="134"/>
    <m/>
    <n v="134"/>
    <m/>
    <n v="136"/>
    <m/>
    <n v="127"/>
    <m/>
    <n v="115"/>
    <m/>
    <x v="0"/>
    <m/>
    <x v="0"/>
  </r>
  <r>
    <x v="39"/>
    <x v="31"/>
    <x v="1"/>
    <x v="41"/>
    <n v="141"/>
    <x v="0"/>
    <n v="142"/>
    <m/>
    <n v="133"/>
    <m/>
    <n v="148"/>
    <m/>
    <n v="125"/>
    <m/>
    <n v="111"/>
    <m/>
    <x v="0"/>
    <m/>
    <x v="0"/>
  </r>
  <r>
    <x v="40"/>
    <x v="53"/>
    <x v="0"/>
    <x v="12"/>
    <n v="134"/>
    <x v="0"/>
    <n v="134"/>
    <m/>
    <n v="135"/>
    <m/>
    <n v="139"/>
    <m/>
    <n v="110"/>
    <m/>
    <n v="118"/>
    <m/>
    <x v="0"/>
    <m/>
    <x v="0"/>
  </r>
  <r>
    <x v="41"/>
    <x v="54"/>
    <x v="0"/>
    <x v="57"/>
    <n v="125"/>
    <x v="0"/>
    <n v="132"/>
    <m/>
    <n v="108"/>
    <m/>
    <n v="131"/>
    <m/>
    <n v="122"/>
    <m/>
    <n v="119"/>
    <m/>
    <x v="0"/>
    <m/>
    <x v="0"/>
  </r>
  <r>
    <x v="42"/>
    <x v="55"/>
    <x v="1"/>
    <x v="58"/>
    <n v="137"/>
    <x v="0"/>
    <n v="133"/>
    <m/>
    <n v="136"/>
    <m/>
    <n v="144"/>
    <m/>
    <n v="106"/>
    <m/>
    <n v="118"/>
    <m/>
    <x v="0"/>
    <m/>
    <x v="0"/>
  </r>
  <r>
    <x v="42"/>
    <x v="13"/>
    <x v="1"/>
    <x v="59"/>
    <n v="137"/>
    <x v="1"/>
    <n v="133"/>
    <m/>
    <n v="136"/>
    <m/>
    <n v="144"/>
    <n v="98"/>
    <n v="106"/>
    <m/>
    <n v="118"/>
    <m/>
    <x v="0"/>
    <m/>
    <x v="2"/>
  </r>
  <r>
    <x v="42"/>
    <x v="6"/>
    <x v="1"/>
    <x v="60"/>
    <n v="137"/>
    <x v="2"/>
    <n v="133"/>
    <m/>
    <n v="136"/>
    <m/>
    <n v="144"/>
    <n v="160"/>
    <n v="106"/>
    <m/>
    <n v="118"/>
    <m/>
    <x v="1"/>
    <m/>
    <x v="2"/>
  </r>
  <r>
    <x v="42"/>
    <x v="25"/>
    <x v="1"/>
    <x v="61"/>
    <n v="137"/>
    <x v="3"/>
    <n v="133"/>
    <m/>
    <n v="136"/>
    <m/>
    <n v="144"/>
    <n v="255"/>
    <n v="106"/>
    <m/>
    <n v="118"/>
    <m/>
    <x v="1"/>
    <m/>
    <x v="2"/>
  </r>
  <r>
    <x v="42"/>
    <x v="56"/>
    <x v="1"/>
    <x v="62"/>
    <n v="137"/>
    <x v="3"/>
    <n v="133"/>
    <n v="255"/>
    <n v="136"/>
    <n v="255"/>
    <n v="144"/>
    <n v="255"/>
    <n v="106"/>
    <m/>
    <n v="118"/>
    <m/>
    <x v="1"/>
    <m/>
    <x v="1"/>
  </r>
  <r>
    <x v="43"/>
    <x v="57"/>
    <x v="1"/>
    <x v="63"/>
    <n v="131"/>
    <x v="0"/>
    <n v="137"/>
    <m/>
    <n v="141"/>
    <m/>
    <n v="133"/>
    <m/>
    <n v="119"/>
    <m/>
    <n v="129"/>
    <m/>
    <x v="0"/>
    <m/>
    <x v="0"/>
  </r>
  <r>
    <x v="44"/>
    <x v="24"/>
    <x v="0"/>
    <x v="64"/>
    <n v="140"/>
    <x v="0"/>
    <n v="144"/>
    <m/>
    <n v="140"/>
    <m/>
    <n v="140"/>
    <m/>
    <n v="144"/>
    <m/>
    <n v="117"/>
    <m/>
    <x v="0"/>
    <m/>
    <x v="0"/>
  </r>
  <r>
    <x v="44"/>
    <x v="58"/>
    <x v="0"/>
    <x v="65"/>
    <n v="140"/>
    <x v="1"/>
    <n v="144"/>
    <n v="98"/>
    <n v="140"/>
    <n v="98"/>
    <n v="140"/>
    <n v="98"/>
    <n v="144"/>
    <m/>
    <n v="117"/>
    <m/>
    <x v="0"/>
    <m/>
    <x v="1"/>
  </r>
  <r>
    <x v="45"/>
    <x v="34"/>
    <x v="0"/>
    <x v="66"/>
    <n v="134"/>
    <x v="0"/>
    <n v="149"/>
    <m/>
    <n v="146"/>
    <m/>
    <n v="135"/>
    <m/>
    <n v="120"/>
    <m/>
    <n v="136"/>
    <m/>
    <x v="0"/>
    <m/>
    <x v="0"/>
  </r>
  <r>
    <x v="46"/>
    <x v="33"/>
    <x v="1"/>
    <x v="67"/>
    <n v="132"/>
    <x v="0"/>
    <n v="137"/>
    <m/>
    <n v="134"/>
    <m/>
    <n v="135"/>
    <m/>
    <n v="124"/>
    <m/>
    <n v="120"/>
    <m/>
    <x v="0"/>
    <m/>
    <x v="0"/>
  </r>
  <r>
    <x v="47"/>
    <x v="5"/>
    <x v="4"/>
    <x v="2"/>
    <n v="120"/>
    <x v="0"/>
    <n v="114"/>
    <m/>
    <n v="114"/>
    <m/>
    <n v="130"/>
    <m/>
    <n v="112"/>
    <m/>
    <n v="109"/>
    <m/>
    <x v="0"/>
    <m/>
    <x v="0"/>
  </r>
  <r>
    <x v="48"/>
    <x v="54"/>
    <x v="2"/>
    <x v="68"/>
    <n v="148"/>
    <x v="0"/>
    <n v="148"/>
    <m/>
    <n v="144"/>
    <m/>
    <n v="153"/>
    <m/>
    <m/>
    <m/>
    <n v="158"/>
    <m/>
    <x v="0"/>
    <m/>
    <x v="0"/>
  </r>
  <r>
    <x v="49"/>
    <x v="22"/>
    <x v="1"/>
    <x v="69"/>
    <n v="144"/>
    <x v="0"/>
    <n v="145"/>
    <m/>
    <n v="144"/>
    <m/>
    <n v="143"/>
    <m/>
    <n v="151"/>
    <m/>
    <n v="116"/>
    <m/>
    <x v="0"/>
    <m/>
    <x v="0"/>
  </r>
  <r>
    <x v="50"/>
    <x v="1"/>
    <x v="0"/>
    <x v="70"/>
    <n v="144"/>
    <x v="0"/>
    <n v="136"/>
    <m/>
    <n v="142"/>
    <m/>
    <n v="153"/>
    <m/>
    <n v="111"/>
    <m/>
    <n v="122"/>
    <m/>
    <x v="0"/>
    <s v="LC"/>
    <x v="0"/>
  </r>
  <r>
    <x v="50"/>
    <x v="18"/>
    <x v="0"/>
    <x v="71"/>
    <n v="144"/>
    <x v="1"/>
    <n v="136"/>
    <n v="98"/>
    <n v="142"/>
    <n v="98"/>
    <n v="153"/>
    <n v="98"/>
    <n v="111"/>
    <m/>
    <n v="122"/>
    <m/>
    <x v="0"/>
    <s v="LC"/>
    <x v="1"/>
  </r>
  <r>
    <x v="51"/>
    <x v="12"/>
    <x v="4"/>
    <x v="72"/>
    <n v="133"/>
    <x v="0"/>
    <n v="129"/>
    <m/>
    <n v="128"/>
    <m/>
    <n v="135"/>
    <m/>
    <n v="134"/>
    <m/>
    <n v="140"/>
    <m/>
    <x v="0"/>
    <m/>
    <x v="0"/>
  </r>
  <r>
    <x v="52"/>
    <x v="12"/>
    <x v="1"/>
    <x v="8"/>
    <n v="131"/>
    <x v="1"/>
    <n v="114"/>
    <m/>
    <n v="111"/>
    <m/>
    <n v="125"/>
    <m/>
    <n v="134"/>
    <m/>
    <n v="110"/>
    <m/>
    <x v="0"/>
    <m/>
    <x v="5"/>
  </r>
  <r>
    <x v="53"/>
    <x v="59"/>
    <x v="3"/>
    <x v="73"/>
    <n v="133"/>
    <x v="0"/>
    <n v="127"/>
    <m/>
    <n v="127"/>
    <m/>
    <n v="132"/>
    <m/>
    <n v="113"/>
    <m/>
    <n v="120"/>
    <m/>
    <x v="0"/>
    <m/>
    <x v="0"/>
  </r>
  <r>
    <x v="54"/>
    <x v="60"/>
    <x v="2"/>
    <x v="74"/>
    <n v="166"/>
    <x v="0"/>
    <n v="138"/>
    <m/>
    <n v="131"/>
    <m/>
    <n v="151"/>
    <m/>
    <m/>
    <m/>
    <n v="153"/>
    <m/>
    <x v="0"/>
    <m/>
    <x v="0"/>
  </r>
  <r>
    <x v="55"/>
    <x v="0"/>
    <x v="0"/>
    <x v="75"/>
    <n v="84"/>
    <x v="0"/>
    <n v="81"/>
    <m/>
    <n v="99"/>
    <m/>
    <n v="83"/>
    <m/>
    <n v="82"/>
    <m/>
    <n v="82"/>
    <m/>
    <x v="0"/>
    <m/>
    <x v="0"/>
  </r>
  <r>
    <x v="56"/>
    <x v="61"/>
    <x v="0"/>
    <x v="13"/>
    <n v="130"/>
    <x v="0"/>
    <n v="129"/>
    <m/>
    <n v="119"/>
    <m/>
    <n v="135"/>
    <m/>
    <n v="117"/>
    <m/>
    <n v="127"/>
    <m/>
    <x v="0"/>
    <m/>
    <x v="0"/>
  </r>
  <r>
    <x v="56"/>
    <x v="54"/>
    <x v="0"/>
    <x v="18"/>
    <n v="130"/>
    <x v="1"/>
    <n v="129"/>
    <m/>
    <n v="119"/>
    <m/>
    <n v="135"/>
    <n v="98"/>
    <n v="117"/>
    <m/>
    <n v="127"/>
    <m/>
    <x v="0"/>
    <m/>
    <x v="2"/>
  </r>
  <r>
    <x v="56"/>
    <x v="21"/>
    <x v="0"/>
    <x v="76"/>
    <n v="130"/>
    <x v="1"/>
    <n v="129"/>
    <n v="98"/>
    <n v="119"/>
    <n v="98"/>
    <n v="135"/>
    <n v="98"/>
    <n v="117"/>
    <m/>
    <n v="127"/>
    <m/>
    <x v="0"/>
    <m/>
    <x v="1"/>
  </r>
  <r>
    <x v="57"/>
    <x v="62"/>
    <x v="0"/>
    <x v="22"/>
    <n v="132"/>
    <x v="0"/>
    <n v="128"/>
    <m/>
    <n v="108"/>
    <m/>
    <n v="127"/>
    <m/>
    <n v="114"/>
    <m/>
    <n v="122"/>
    <m/>
    <x v="0"/>
    <m/>
    <x v="0"/>
  </r>
  <r>
    <x v="57"/>
    <x v="24"/>
    <x v="0"/>
    <x v="77"/>
    <n v="145"/>
    <x v="0"/>
    <n v="150"/>
    <m/>
    <n v="146"/>
    <m/>
    <n v="142"/>
    <m/>
    <n v="114"/>
    <m/>
    <n v="122"/>
    <m/>
    <x v="0"/>
    <m/>
    <x v="0"/>
  </r>
  <r>
    <x v="57"/>
    <x v="58"/>
    <x v="0"/>
    <x v="78"/>
    <n v="145"/>
    <x v="1"/>
    <n v="150"/>
    <n v="98"/>
    <n v="146"/>
    <n v="98"/>
    <n v="142"/>
    <n v="98"/>
    <n v="114"/>
    <m/>
    <n v="122"/>
    <m/>
    <x v="0"/>
    <m/>
    <x v="1"/>
  </r>
  <r>
    <x v="57"/>
    <x v="63"/>
    <x v="0"/>
    <x v="79"/>
    <n v="145"/>
    <x v="3"/>
    <n v="150"/>
    <n v="255"/>
    <n v="146"/>
    <n v="255"/>
    <n v="142"/>
    <n v="255"/>
    <n v="114"/>
    <m/>
    <n v="122"/>
    <m/>
    <x v="1"/>
    <m/>
    <x v="1"/>
  </r>
  <r>
    <x v="58"/>
    <x v="64"/>
    <x v="0"/>
    <x v="80"/>
    <n v="133"/>
    <x v="0"/>
    <n v="136"/>
    <m/>
    <n v="136"/>
    <m/>
    <n v="137"/>
    <m/>
    <n v="113"/>
    <m/>
    <n v="111"/>
    <m/>
    <x v="0"/>
    <m/>
    <x v="0"/>
  </r>
  <r>
    <x v="59"/>
    <x v="65"/>
    <x v="1"/>
    <x v="17"/>
    <n v="133"/>
    <x v="0"/>
    <n v="139"/>
    <m/>
    <n v="133"/>
    <m/>
    <n v="131"/>
    <m/>
    <n v="149"/>
    <m/>
    <n v="129"/>
    <m/>
    <x v="0"/>
    <m/>
    <x v="0"/>
  </r>
  <r>
    <x v="60"/>
    <x v="66"/>
    <x v="3"/>
    <x v="81"/>
    <n v="144"/>
    <x v="0"/>
    <n v="139"/>
    <m/>
    <n v="138"/>
    <m/>
    <n v="144"/>
    <m/>
    <n v="113"/>
    <m/>
    <n v="111"/>
    <m/>
    <x v="0"/>
    <m/>
    <x v="0"/>
  </r>
  <r>
    <x v="61"/>
    <x v="67"/>
    <x v="3"/>
    <x v="82"/>
    <n v="127"/>
    <x v="0"/>
    <n v="136"/>
    <m/>
    <n v="123"/>
    <m/>
    <n v="133"/>
    <m/>
    <n v="115"/>
    <m/>
    <n v="113"/>
    <m/>
    <x v="0"/>
    <m/>
    <x v="0"/>
  </r>
  <r>
    <x v="62"/>
    <x v="3"/>
    <x v="3"/>
    <x v="74"/>
    <n v="120"/>
    <x v="0"/>
    <n v="125"/>
    <m/>
    <n v="120"/>
    <m/>
    <n v="122"/>
    <m/>
    <n v="134"/>
    <m/>
    <n v="118"/>
    <m/>
    <x v="0"/>
    <m/>
    <x v="0"/>
  </r>
  <r>
    <x v="63"/>
    <x v="3"/>
    <x v="0"/>
    <x v="2"/>
    <n v="113"/>
    <x v="0"/>
    <n v="116"/>
    <m/>
    <n v="93"/>
    <m/>
    <n v="150"/>
    <m/>
    <n v="116"/>
    <m/>
    <n v="111"/>
    <m/>
    <x v="0"/>
    <m/>
    <x v="0"/>
  </r>
  <r>
    <x v="63"/>
    <x v="64"/>
    <x v="0"/>
    <x v="83"/>
    <n v="113"/>
    <x v="1"/>
    <n v="116"/>
    <n v="98"/>
    <n v="93"/>
    <n v="98"/>
    <n v="150"/>
    <n v="98"/>
    <n v="116"/>
    <m/>
    <n v="111"/>
    <m/>
    <x v="0"/>
    <m/>
    <x v="1"/>
  </r>
  <r>
    <x v="63"/>
    <x v="0"/>
    <x v="0"/>
    <x v="84"/>
    <n v="113"/>
    <x v="3"/>
    <n v="116"/>
    <n v="255"/>
    <n v="93"/>
    <n v="255"/>
    <n v="150"/>
    <n v="255"/>
    <n v="116"/>
    <m/>
    <n v="111"/>
    <m/>
    <x v="1"/>
    <m/>
    <x v="1"/>
  </r>
  <r>
    <x v="64"/>
    <x v="41"/>
    <x v="1"/>
    <x v="85"/>
    <n v="132"/>
    <x v="0"/>
    <n v="142"/>
    <m/>
    <n v="132"/>
    <m/>
    <n v="133"/>
    <m/>
    <n v="103"/>
    <m/>
    <n v="118"/>
    <m/>
    <x v="0"/>
    <m/>
    <x v="0"/>
  </r>
  <r>
    <x v="65"/>
    <x v="42"/>
    <x v="0"/>
    <x v="86"/>
    <n v="132"/>
    <x v="0"/>
    <n v="130"/>
    <m/>
    <n v="133"/>
    <m/>
    <n v="146"/>
    <m/>
    <n v="113"/>
    <m/>
    <n v="110"/>
    <m/>
    <x v="0"/>
    <m/>
    <x v="0"/>
  </r>
  <r>
    <x v="65"/>
    <x v="54"/>
    <x v="0"/>
    <x v="87"/>
    <n v="132"/>
    <x v="1"/>
    <n v="130"/>
    <m/>
    <n v="133"/>
    <m/>
    <n v="146"/>
    <n v="98"/>
    <n v="113"/>
    <m/>
    <n v="110"/>
    <m/>
    <x v="0"/>
    <m/>
    <x v="2"/>
  </r>
  <r>
    <x v="65"/>
    <x v="68"/>
    <x v="0"/>
    <x v="88"/>
    <n v="132"/>
    <x v="1"/>
    <n v="130"/>
    <m/>
    <n v="133"/>
    <n v="98"/>
    <n v="146"/>
    <n v="98"/>
    <n v="113"/>
    <m/>
    <n v="110"/>
    <m/>
    <x v="0"/>
    <m/>
    <x v="4"/>
  </r>
  <r>
    <x v="66"/>
    <x v="62"/>
    <x v="0"/>
    <x v="89"/>
    <n v="137"/>
    <x v="0"/>
    <n v="124"/>
    <m/>
    <n v="122"/>
    <m/>
    <n v="131"/>
    <m/>
    <n v="107"/>
    <m/>
    <n v="113"/>
    <m/>
    <x v="0"/>
    <m/>
    <x v="0"/>
  </r>
  <r>
    <x v="67"/>
    <x v="62"/>
    <x v="2"/>
    <x v="73"/>
    <n v="149"/>
    <x v="0"/>
    <n v="152"/>
    <m/>
    <n v="143"/>
    <m/>
    <n v="151"/>
    <m/>
    <m/>
    <m/>
    <n v="157"/>
    <m/>
    <x v="0"/>
    <m/>
    <x v="0"/>
  </r>
  <r>
    <x v="68"/>
    <x v="69"/>
    <x v="4"/>
    <x v="90"/>
    <n v="148"/>
    <x v="0"/>
    <n v="143"/>
    <m/>
    <n v="139"/>
    <m/>
    <n v="140"/>
    <m/>
    <n v="127"/>
    <m/>
    <n v="124"/>
    <m/>
    <x v="0"/>
    <m/>
    <x v="0"/>
  </r>
  <r>
    <x v="69"/>
    <x v="70"/>
    <x v="3"/>
    <x v="91"/>
    <n v="142"/>
    <x v="0"/>
    <n v="131"/>
    <m/>
    <n v="132"/>
    <m/>
    <n v="145"/>
    <m/>
    <n v="138"/>
    <m/>
    <n v="119"/>
    <m/>
    <x v="0"/>
    <m/>
    <x v="0"/>
  </r>
  <r>
    <x v="70"/>
    <x v="70"/>
    <x v="3"/>
    <x v="92"/>
    <n v="155"/>
    <x v="0"/>
    <n v="149"/>
    <m/>
    <n v="140"/>
    <m/>
    <n v="143"/>
    <m/>
    <n v="99"/>
    <m/>
    <n v="119"/>
    <m/>
    <x v="0"/>
    <m/>
    <x v="0"/>
  </r>
  <r>
    <x v="71"/>
    <x v="71"/>
    <x v="3"/>
    <x v="56"/>
    <n v="142"/>
    <x v="0"/>
    <n v="137"/>
    <m/>
    <n v="136"/>
    <m/>
    <n v="140"/>
    <m/>
    <n v="113"/>
    <m/>
    <n v="134"/>
    <m/>
    <x v="0"/>
    <m/>
    <x v="0"/>
  </r>
  <r>
    <x v="71"/>
    <x v="72"/>
    <x v="3"/>
    <x v="93"/>
    <n v="142"/>
    <x v="1"/>
    <n v="137"/>
    <m/>
    <n v="136"/>
    <m/>
    <n v="140"/>
    <n v="98"/>
    <n v="113"/>
    <m/>
    <n v="134"/>
    <m/>
    <x v="0"/>
    <m/>
    <x v="2"/>
  </r>
  <r>
    <x v="71"/>
    <x v="73"/>
    <x v="3"/>
    <x v="94"/>
    <n v="142"/>
    <x v="1"/>
    <n v="137"/>
    <n v="98"/>
    <n v="136"/>
    <n v="98"/>
    <n v="140"/>
    <n v="98"/>
    <n v="113"/>
    <m/>
    <n v="134"/>
    <m/>
    <x v="0"/>
    <m/>
    <x v="1"/>
  </r>
  <r>
    <x v="71"/>
    <x v="74"/>
    <x v="3"/>
    <x v="95"/>
    <n v="142"/>
    <x v="4"/>
    <n v="137"/>
    <n v="162"/>
    <n v="136"/>
    <n v="162"/>
    <n v="140"/>
    <n v="162"/>
    <n v="113"/>
    <m/>
    <n v="134"/>
    <m/>
    <x v="1"/>
    <m/>
    <x v="1"/>
  </r>
  <r>
    <x v="71"/>
    <x v="75"/>
    <x v="3"/>
    <x v="96"/>
    <n v="142"/>
    <x v="3"/>
    <n v="137"/>
    <n v="255"/>
    <n v="136"/>
    <n v="255"/>
    <n v="140"/>
    <n v="255"/>
    <n v="113"/>
    <m/>
    <n v="134"/>
    <m/>
    <x v="1"/>
    <m/>
    <x v="1"/>
  </r>
  <r>
    <x v="72"/>
    <x v="76"/>
    <x v="0"/>
    <x v="17"/>
    <n v="138"/>
    <x v="0"/>
    <n v="141"/>
    <m/>
    <n v="138"/>
    <m/>
    <n v="145"/>
    <m/>
    <n v="133"/>
    <m/>
    <n v="119"/>
    <m/>
    <x v="0"/>
    <m/>
    <x v="0"/>
  </r>
  <r>
    <x v="73"/>
    <x v="14"/>
    <x v="0"/>
    <x v="89"/>
    <n v="139"/>
    <x v="0"/>
    <n v="129"/>
    <m/>
    <n v="120"/>
    <m/>
    <n v="117"/>
    <m/>
    <n v="112"/>
    <m/>
    <n v="117"/>
    <m/>
    <x v="0"/>
    <m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BC07D7-65AA-4562-ABF3-7CE160A6DB8C}" name="Tabela przestawna2" cacheId="0" applyNumberFormats="0" applyBorderFormats="0" applyFontFormats="0" applyPatternFormats="0" applyAlignmentFormats="0" applyWidthHeightFormats="1" dataCaption="Wartości" updatedVersion="8" minRefreshableVersion="3" showDrill="0" useAutoFormatting="1" rowGrandTotals="0" colGrandTotals="0" itemPrintTitles="1" createdVersion="8" indent="0" compact="0" outline="1" outlineData="1" compactData="0" multipleFieldFilters="0" rowHeaderCaption="">
  <location ref="A1:L195" firstHeaderRow="0" firstDataRow="1" firstDataCol="6"/>
  <pivotFields count="19">
    <pivotField axis="axisRow" compact="0" showAll="0" defaultSubtotal="0">
      <items count="7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</items>
    </pivotField>
    <pivotField axis="axisRow" compact="0" numFmtId="164" outline="0" subtotalTop="0" showAll="0" defaultSubtotal="0">
      <items count="77">
        <item x="51"/>
        <item x="5"/>
        <item x="22"/>
        <item x="12"/>
        <item x="59"/>
        <item x="3"/>
        <item x="2"/>
        <item x="32"/>
        <item x="7"/>
        <item x="66"/>
        <item x="41"/>
        <item x="31"/>
        <item x="57"/>
        <item x="52"/>
        <item x="65"/>
        <item x="40"/>
        <item x="23"/>
        <item x="4"/>
        <item x="50"/>
        <item x="33"/>
        <item x="55"/>
        <item x="67"/>
        <item x="69"/>
        <item x="14"/>
        <item x="47"/>
        <item x="64"/>
        <item x="42"/>
        <item x="11"/>
        <item x="29"/>
        <item x="61"/>
        <item x="30"/>
        <item x="76"/>
        <item x="39"/>
        <item x="43"/>
        <item x="34"/>
        <item x="62"/>
        <item x="53"/>
        <item x="0"/>
        <item x="13"/>
        <item x="60"/>
        <item x="6"/>
        <item x="54"/>
        <item x="25"/>
        <item x="71"/>
        <item x="70"/>
        <item x="24"/>
        <item x="44"/>
        <item x="15"/>
        <item x="68"/>
        <item x="21"/>
        <item x="56"/>
        <item x="45"/>
        <item x="16"/>
        <item x="72"/>
        <item x="1"/>
        <item x="8"/>
        <item x="46"/>
        <item x="38"/>
        <item x="17"/>
        <item x="48"/>
        <item x="9"/>
        <item x="26"/>
        <item x="73"/>
        <item x="58"/>
        <item x="49"/>
        <item x="10"/>
        <item x="27"/>
        <item x="18"/>
        <item x="74"/>
        <item x="19"/>
        <item x="63"/>
        <item x="28"/>
        <item x="75"/>
        <item x="20"/>
        <item x="35"/>
        <item x="36"/>
        <item x="37"/>
      </items>
    </pivotField>
    <pivotField compact="0" showAll="0" defaultSubtotal="0">
      <items count="5">
        <item x="0"/>
        <item sd="0" x="3"/>
        <item sd="0" x="4"/>
        <item sd="0" x="2"/>
        <item sd="0" x="1"/>
      </items>
    </pivotField>
    <pivotField axis="axisRow" compact="0" outline="0" showAll="0" defaultSubtotal="0">
      <items count="97">
        <item x="43"/>
        <item x="75"/>
        <item x="2"/>
        <item x="31"/>
        <item x="55"/>
        <item x="22"/>
        <item x="48"/>
        <item x="33"/>
        <item x="89"/>
        <item x="34"/>
        <item x="57"/>
        <item x="16"/>
        <item x="74"/>
        <item x="54"/>
        <item x="42"/>
        <item x="3"/>
        <item x="35"/>
        <item x="82"/>
        <item x="15"/>
        <item x="6"/>
        <item x="68"/>
        <item x="73"/>
        <item x="13"/>
        <item x="85"/>
        <item x="44"/>
        <item x="86"/>
        <item x="23"/>
        <item x="80"/>
        <item x="7"/>
        <item x="12"/>
        <item x="49"/>
        <item x="4"/>
        <item x="5"/>
        <item x="58"/>
        <item x="24"/>
        <item x="53"/>
        <item x="67"/>
        <item x="37"/>
        <item x="32"/>
        <item x="81"/>
        <item x="63"/>
        <item x="14"/>
        <item x="72"/>
        <item x="41"/>
        <item x="56"/>
        <item x="92"/>
        <item x="91"/>
        <item x="70"/>
        <item x="17"/>
        <item x="77"/>
        <item x="66"/>
        <item x="90"/>
        <item x="8"/>
        <item x="64"/>
        <item x="27"/>
        <item x="69"/>
        <item x="52"/>
        <item x="0"/>
        <item x="36"/>
        <item x="18"/>
        <item x="87"/>
        <item x="50"/>
        <item x="59"/>
        <item x="93"/>
        <item x="45"/>
        <item x="88"/>
        <item x="51"/>
        <item x="83"/>
        <item x="60"/>
        <item x="76"/>
        <item x="38"/>
        <item x="94"/>
        <item x="71"/>
        <item x="20"/>
        <item x="78"/>
        <item x="9"/>
        <item x="65"/>
        <item x="28"/>
        <item x="46"/>
        <item x="1"/>
        <item x="25"/>
        <item x="61"/>
        <item x="19"/>
        <item x="39"/>
        <item x="95"/>
        <item x="10"/>
        <item x="29"/>
        <item x="47"/>
        <item x="84"/>
        <item x="62"/>
        <item x="40"/>
        <item x="96"/>
        <item x="21"/>
        <item x="79"/>
        <item x="11"/>
        <item x="30"/>
        <item x="26"/>
      </items>
    </pivotField>
    <pivotField dataField="1" compact="0" showAll="0" defaultSubtotal="0"/>
    <pivotField name="MUTACJE" axis="axisRow" compact="0" outline="0" showAll="0" defaultSubtotal="0">
      <items count="5">
        <item x="1"/>
        <item x="2"/>
        <item x="4"/>
        <item x="3"/>
        <item x="0"/>
      </items>
    </pivotField>
    <pivotField dataField="1" compact="0" showAll="0" defaultSubtotal="0"/>
    <pivotField compact="0" showAll="0" defaultSubtotal="0"/>
    <pivotField dataField="1" compact="0" showAll="0" defaultSubtotal="0"/>
    <pivotField compact="0" showAll="0" defaultSubtotal="0"/>
    <pivotField dataField="1" compact="0" showAll="0" defaultSubtotal="0"/>
    <pivotField compact="0" showAll="0" defaultSubtotal="0"/>
    <pivotField dataField="1" compact="0" showAll="0" defaultSubtotal="0"/>
    <pivotField compact="0" showAll="0" defaultSubtotal="0"/>
    <pivotField dataField="1" compact="0" showAll="0" defaultSubtotal="0"/>
    <pivotField compact="0" showAll="0" defaultSubtotal="0"/>
    <pivotField axis="axisRow" compact="0" outline="0" showAll="0" defaultSubtotal="0">
      <items count="2">
        <item x="1"/>
        <item x="0"/>
      </items>
    </pivotField>
    <pivotField compact="0" showAll="0" defaultSubtotal="0"/>
    <pivotField name="X" axis="axisRow" compact="0" numFmtId="164" outline="0" showAll="0" defaultSubtotal="0">
      <items count="6">
        <item x="0"/>
        <item x="5"/>
        <item x="2"/>
        <item x="4"/>
        <item x="1"/>
        <item x="3"/>
      </items>
    </pivotField>
  </pivotFields>
  <rowFields count="6">
    <field x="0"/>
    <field x="1"/>
    <field x="3"/>
    <field x="16"/>
    <field x="18"/>
    <field x="5"/>
  </rowFields>
  <rowItems count="194">
    <i>
      <x/>
    </i>
    <i r="1">
      <x v="37"/>
      <x v="57"/>
      <x v="1"/>
      <x/>
      <x v="4"/>
    </i>
    <i r="1">
      <x v="54"/>
      <x v="79"/>
      <x v="1"/>
      <x v="4"/>
      <x/>
    </i>
    <i>
      <x v="1"/>
    </i>
    <i r="1">
      <x v="6"/>
      <x v="2"/>
      <x v="1"/>
      <x/>
      <x v="4"/>
    </i>
    <i>
      <x v="2"/>
    </i>
    <i r="1">
      <x v="5"/>
      <x v="15"/>
      <x v="1"/>
      <x/>
      <x v="4"/>
    </i>
    <i>
      <x v="3"/>
    </i>
    <i r="1">
      <x v="17"/>
      <x v="31"/>
      <x v="1"/>
      <x/>
      <x v="4"/>
    </i>
    <i>
      <x v="4"/>
    </i>
    <i r="1">
      <x v="1"/>
      <x v="32"/>
      <x v="1"/>
      <x/>
      <x v="4"/>
    </i>
    <i>
      <x v="5"/>
    </i>
    <i r="1">
      <x v="40"/>
      <x v="19"/>
      <x v="1"/>
      <x/>
      <x v="4"/>
    </i>
    <i>
      <x v="6"/>
    </i>
    <i r="1">
      <x v="8"/>
      <x v="28"/>
      <x v="1"/>
      <x/>
      <x v="4"/>
    </i>
    <i>
      <x v="7"/>
    </i>
    <i r="1">
      <x v="37"/>
      <x v="52"/>
      <x v="1"/>
      <x/>
      <x v="4"/>
    </i>
    <i r="1">
      <x v="55"/>
      <x v="75"/>
      <x v="1"/>
      <x v="4"/>
      <x/>
    </i>
    <i r="1">
      <x v="60"/>
      <x v="85"/>
      <x/>
      <x v="4"/>
      <x v="1"/>
    </i>
    <i r="1">
      <x v="65"/>
      <x v="94"/>
      <x/>
      <x v="4"/>
      <x v="3"/>
    </i>
    <i>
      <x v="8"/>
    </i>
    <i r="1">
      <x v="27"/>
      <x v="29"/>
      <x v="1"/>
      <x/>
      <x v="4"/>
    </i>
    <i>
      <x v="9"/>
    </i>
    <i r="1">
      <x v="3"/>
      <x v="22"/>
      <x v="1"/>
      <x/>
      <x v="4"/>
    </i>
    <i>
      <x v="10"/>
    </i>
    <i r="1">
      <x v="38"/>
      <x v="41"/>
      <x v="1"/>
      <x/>
      <x v="4"/>
    </i>
    <i>
      <x v="11"/>
    </i>
    <i r="1">
      <x v="23"/>
      <x v="18"/>
      <x v="1"/>
      <x/>
      <x v="4"/>
    </i>
    <i>
      <x v="12"/>
    </i>
    <i r="1">
      <x v="47"/>
      <x v="11"/>
      <x v="1"/>
      <x/>
      <x v="4"/>
    </i>
    <i r="1">
      <x v="52"/>
      <x v="48"/>
      <x v="1"/>
      <x/>
      <x v="4"/>
    </i>
    <i r="1">
      <x v="58"/>
      <x v="59"/>
      <x v="1"/>
      <x v="2"/>
      <x/>
    </i>
    <i r="1">
      <x v="67"/>
      <x v="82"/>
      <x/>
      <x v="2"/>
      <x v="3"/>
    </i>
    <i r="1">
      <x v="69"/>
      <x v="73"/>
      <x v="1"/>
      <x v="4"/>
      <x/>
    </i>
    <i r="1">
      <x v="73"/>
      <x v="92"/>
      <x/>
      <x v="4"/>
      <x v="3"/>
    </i>
    <i>
      <x v="13"/>
    </i>
    <i r="1">
      <x v="49"/>
      <x v="5"/>
      <x v="1"/>
      <x/>
      <x v="4"/>
    </i>
    <i>
      <x v="14"/>
    </i>
    <i r="1">
      <x v="2"/>
      <x v="57"/>
      <x v="1"/>
      <x/>
      <x v="4"/>
    </i>
    <i>
      <x v="15"/>
    </i>
    <i r="1">
      <x v="3"/>
      <x v="26"/>
      <x v="1"/>
      <x/>
      <x v="4"/>
    </i>
    <i>
      <x v="16"/>
    </i>
    <i r="1">
      <x v="16"/>
      <x v="34"/>
      <x v="1"/>
      <x/>
      <x v="4"/>
    </i>
    <i r="1">
      <x v="45"/>
      <x v="80"/>
      <x v="1"/>
      <x v="5"/>
      <x/>
    </i>
    <i r="1">
      <x v="52"/>
      <x v="96"/>
      <x/>
      <x v="5"/>
      <x v="3"/>
    </i>
    <i>
      <x v="17"/>
    </i>
    <i r="1">
      <x v="42"/>
      <x v="54"/>
      <x v="1"/>
      <x/>
      <x v="4"/>
    </i>
    <i r="1">
      <x v="61"/>
      <x v="77"/>
      <x v="1"/>
      <x v="4"/>
      <x/>
    </i>
    <i r="1">
      <x v="66"/>
      <x v="86"/>
      <x/>
      <x v="4"/>
      <x v="1"/>
    </i>
    <i r="1">
      <x v="71"/>
      <x v="95"/>
      <x/>
      <x v="4"/>
      <x v="3"/>
    </i>
    <i>
      <x v="18"/>
    </i>
    <i r="1">
      <x v="28"/>
      <x v="3"/>
      <x v="1"/>
      <x/>
      <x v="4"/>
    </i>
    <i>
      <x v="19"/>
    </i>
    <i r="1">
      <x v="30"/>
      <x v="38"/>
      <x v="1"/>
      <x/>
      <x v="4"/>
    </i>
    <i>
      <x v="20"/>
    </i>
    <i r="1">
      <x v="11"/>
      <x v="28"/>
      <x v="1"/>
      <x/>
      <x v="4"/>
    </i>
    <i>
      <x v="21"/>
    </i>
    <i r="1">
      <x v="7"/>
      <x v="7"/>
      <x v="1"/>
      <x/>
      <x v="4"/>
    </i>
    <i>
      <x v="22"/>
    </i>
    <i r="1">
      <x v="5"/>
      <x v="9"/>
      <x v="1"/>
      <x/>
      <x v="4"/>
    </i>
    <i>
      <x v="23"/>
    </i>
    <i r="1">
      <x v="19"/>
      <x v="16"/>
      <x v="1"/>
      <x/>
      <x v="4"/>
    </i>
    <i r="1">
      <x v="34"/>
      <x v="58"/>
      <x v="1"/>
      <x v="2"/>
      <x/>
    </i>
    <i>
      <x v="24"/>
    </i>
    <i r="1">
      <x v="60"/>
      <x v="37"/>
      <x/>
      <x/>
      <x v="4"/>
    </i>
    <i r="1">
      <x v="67"/>
      <x v="37"/>
      <x v="1"/>
      <x/>
      <x v="4"/>
    </i>
    <i r="1">
      <x v="74"/>
      <x v="70"/>
      <x v="1"/>
      <x v="4"/>
      <x/>
    </i>
    <i r="1">
      <x v="75"/>
      <x v="83"/>
      <x/>
      <x v="4"/>
      <x v="1"/>
    </i>
    <i r="1">
      <x v="76"/>
      <x v="90"/>
      <x/>
      <x v="4"/>
      <x v="3"/>
    </i>
    <i>
      <x v="25"/>
    </i>
    <i r="1">
      <x v="57"/>
      <x v="43"/>
      <x v="1"/>
      <x/>
      <x v="4"/>
    </i>
    <i>
      <x v="26"/>
    </i>
    <i r="1">
      <x v="32"/>
      <x v="14"/>
      <x v="1"/>
      <x/>
      <x v="4"/>
    </i>
    <i>
      <x v="27"/>
    </i>
    <i r="1">
      <x v="15"/>
      <x/>
      <x v="1"/>
      <x/>
      <x v="4"/>
    </i>
    <i>
      <x v="28"/>
    </i>
    <i r="1">
      <x v="57"/>
      <x v="28"/>
      <x v="1"/>
      <x/>
      <x v="4"/>
    </i>
    <i>
      <x v="29"/>
    </i>
    <i r="1">
      <x v="10"/>
      <x v="24"/>
      <x v="1"/>
      <x/>
      <x v="4"/>
    </i>
    <i r="1">
      <x v="26"/>
      <x v="64"/>
      <x v="1"/>
      <x v="3"/>
      <x/>
    </i>
    <i r="1">
      <x v="33"/>
      <x v="78"/>
      <x/>
      <x v="3"/>
      <x v="1"/>
    </i>
    <i r="1">
      <x v="34"/>
      <x v="87"/>
      <x/>
      <x v="3"/>
      <x v="3"/>
    </i>
    <i>
      <x v="30"/>
    </i>
    <i r="1">
      <x v="46"/>
      <x v="6"/>
      <x v="1"/>
      <x/>
      <x v="4"/>
    </i>
    <i>
      <x v="31"/>
    </i>
    <i r="1">
      <x v="45"/>
      <x v="30"/>
      <x v="1"/>
      <x/>
      <x v="4"/>
    </i>
    <i r="1">
      <x v="51"/>
      <x v="61"/>
      <x v="1"/>
      <x v="2"/>
      <x/>
    </i>
    <i r="1">
      <x v="56"/>
      <x v="66"/>
      <x v="1"/>
      <x v="3"/>
      <x/>
    </i>
    <i>
      <x v="32"/>
    </i>
    <i r="1">
      <x v="24"/>
      <x v="56"/>
      <x v="1"/>
      <x/>
      <x v="4"/>
    </i>
    <i>
      <x v="33"/>
    </i>
    <i r="1">
      <x v="1"/>
      <x v="35"/>
      <x v="1"/>
      <x/>
      <x v="4"/>
    </i>
    <i>
      <x v="34"/>
    </i>
    <i r="1">
      <x v="37"/>
      <x v="52"/>
      <x v="1"/>
      <x/>
      <x v="4"/>
    </i>
    <i r="1">
      <x v="54"/>
      <x v="75"/>
      <x v="1"/>
      <x v="4"/>
      <x/>
    </i>
    <i r="1">
      <x v="59"/>
      <x v="85"/>
      <x/>
      <x v="4"/>
      <x v="1"/>
    </i>
    <i r="1">
      <x v="64"/>
      <x v="94"/>
      <x/>
      <x v="4"/>
      <x v="3"/>
    </i>
    <i>
      <x v="35"/>
    </i>
    <i r="1">
      <x v="18"/>
      <x v="13"/>
      <x v="1"/>
      <x/>
      <x v="4"/>
    </i>
    <i>
      <x v="36"/>
    </i>
    <i r="1">
      <x/>
      <x v="4"/>
      <x v="1"/>
      <x/>
      <x v="4"/>
    </i>
    <i>
      <x v="37"/>
    </i>
    <i r="1">
      <x v="45"/>
      <x v="44"/>
      <x v="1"/>
      <x/>
      <x v="4"/>
    </i>
    <i>
      <x v="38"/>
    </i>
    <i r="1">
      <x v="13"/>
      <x v="35"/>
      <x v="1"/>
      <x/>
      <x v="4"/>
    </i>
    <i>
      <x v="39"/>
    </i>
    <i r="1">
      <x v="11"/>
      <x v="43"/>
      <x v="1"/>
      <x/>
      <x v="4"/>
    </i>
    <i>
      <x v="40"/>
    </i>
    <i r="1">
      <x v="36"/>
      <x v="29"/>
      <x v="1"/>
      <x/>
      <x v="4"/>
    </i>
    <i>
      <x v="41"/>
    </i>
    <i r="1">
      <x v="41"/>
      <x v="10"/>
      <x v="1"/>
      <x/>
      <x v="4"/>
    </i>
    <i>
      <x v="42"/>
    </i>
    <i r="1">
      <x v="20"/>
      <x v="33"/>
      <x v="1"/>
      <x/>
      <x v="4"/>
    </i>
    <i r="1">
      <x v="38"/>
      <x v="62"/>
      <x v="1"/>
      <x v="2"/>
      <x/>
    </i>
    <i r="1">
      <x v="40"/>
      <x v="68"/>
      <x/>
      <x v="2"/>
      <x v="1"/>
    </i>
    <i r="1">
      <x v="42"/>
      <x v="81"/>
      <x/>
      <x v="2"/>
      <x v="3"/>
    </i>
    <i r="1">
      <x v="50"/>
      <x v="89"/>
      <x/>
      <x v="4"/>
      <x v="3"/>
    </i>
    <i>
      <x v="43"/>
    </i>
    <i r="1">
      <x v="12"/>
      <x v="40"/>
      <x v="1"/>
      <x/>
      <x v="4"/>
    </i>
    <i>
      <x v="44"/>
    </i>
    <i r="1">
      <x v="45"/>
      <x v="53"/>
      <x v="1"/>
      <x/>
      <x v="4"/>
    </i>
    <i r="1">
      <x v="63"/>
      <x v="76"/>
      <x v="1"/>
      <x v="4"/>
      <x/>
    </i>
    <i>
      <x v="45"/>
    </i>
    <i r="1">
      <x v="34"/>
      <x v="50"/>
      <x v="1"/>
      <x/>
      <x v="4"/>
    </i>
    <i>
      <x v="46"/>
    </i>
    <i r="1">
      <x v="19"/>
      <x v="36"/>
      <x v="1"/>
      <x/>
      <x v="4"/>
    </i>
    <i>
      <x v="47"/>
    </i>
    <i r="1">
      <x v="1"/>
      <x v="2"/>
      <x v="1"/>
      <x/>
      <x v="4"/>
    </i>
    <i>
      <x v="48"/>
    </i>
    <i r="1">
      <x v="41"/>
      <x v="20"/>
      <x v="1"/>
      <x/>
      <x v="4"/>
    </i>
    <i>
      <x v="49"/>
    </i>
    <i r="1">
      <x v="2"/>
      <x v="55"/>
      <x v="1"/>
      <x/>
      <x v="4"/>
    </i>
    <i>
      <x v="50"/>
    </i>
    <i r="1">
      <x v="54"/>
      <x v="47"/>
      <x v="1"/>
      <x/>
      <x v="4"/>
    </i>
    <i r="1">
      <x v="67"/>
      <x v="72"/>
      <x v="1"/>
      <x v="4"/>
      <x/>
    </i>
    <i>
      <x v="51"/>
    </i>
    <i r="1">
      <x v="3"/>
      <x v="42"/>
      <x v="1"/>
      <x/>
      <x v="4"/>
    </i>
    <i>
      <x v="52"/>
    </i>
    <i r="1">
      <x v="3"/>
      <x v="52"/>
      <x v="1"/>
      <x v="1"/>
      <x/>
    </i>
    <i>
      <x v="53"/>
    </i>
    <i r="1">
      <x v="4"/>
      <x v="21"/>
      <x v="1"/>
      <x/>
      <x v="4"/>
    </i>
    <i>
      <x v="54"/>
    </i>
    <i r="1">
      <x v="39"/>
      <x v="12"/>
      <x v="1"/>
      <x/>
      <x v="4"/>
    </i>
    <i>
      <x v="55"/>
    </i>
    <i r="1">
      <x v="37"/>
      <x v="1"/>
      <x v="1"/>
      <x/>
      <x v="4"/>
    </i>
    <i>
      <x v="56"/>
    </i>
    <i r="1">
      <x v="29"/>
      <x v="22"/>
      <x v="1"/>
      <x/>
      <x v="4"/>
    </i>
    <i r="1">
      <x v="41"/>
      <x v="59"/>
      <x v="1"/>
      <x v="2"/>
      <x/>
    </i>
    <i r="1">
      <x v="49"/>
      <x v="69"/>
      <x v="1"/>
      <x v="4"/>
      <x/>
    </i>
    <i>
      <x v="57"/>
    </i>
    <i r="1">
      <x v="35"/>
      <x v="5"/>
      <x v="1"/>
      <x/>
      <x v="4"/>
    </i>
    <i r="1">
      <x v="45"/>
      <x v="49"/>
      <x v="1"/>
      <x/>
      <x v="4"/>
    </i>
    <i r="1">
      <x v="63"/>
      <x v="74"/>
      <x v="1"/>
      <x v="4"/>
      <x/>
    </i>
    <i r="1">
      <x v="70"/>
      <x v="93"/>
      <x/>
      <x v="4"/>
      <x v="3"/>
    </i>
    <i>
      <x v="58"/>
    </i>
    <i r="1">
      <x v="25"/>
      <x v="27"/>
      <x v="1"/>
      <x/>
      <x v="4"/>
    </i>
    <i>
      <x v="59"/>
    </i>
    <i r="1">
      <x v="14"/>
      <x v="48"/>
      <x v="1"/>
      <x/>
      <x v="4"/>
    </i>
    <i>
      <x v="60"/>
    </i>
    <i r="1">
      <x v="9"/>
      <x v="39"/>
      <x v="1"/>
      <x/>
      <x v="4"/>
    </i>
    <i>
      <x v="61"/>
    </i>
    <i r="1">
      <x v="21"/>
      <x v="17"/>
      <x v="1"/>
      <x/>
      <x v="4"/>
    </i>
    <i>
      <x v="62"/>
    </i>
    <i r="1">
      <x v="5"/>
      <x v="12"/>
      <x v="1"/>
      <x/>
      <x v="4"/>
    </i>
    <i>
      <x v="63"/>
    </i>
    <i r="1">
      <x v="5"/>
      <x v="2"/>
      <x v="1"/>
      <x/>
      <x v="4"/>
    </i>
    <i r="1">
      <x v="25"/>
      <x v="67"/>
      <x v="1"/>
      <x v="4"/>
      <x/>
    </i>
    <i r="1">
      <x v="37"/>
      <x v="88"/>
      <x/>
      <x v="4"/>
      <x v="3"/>
    </i>
    <i>
      <x v="64"/>
    </i>
    <i r="1">
      <x v="10"/>
      <x v="23"/>
      <x v="1"/>
      <x/>
      <x v="4"/>
    </i>
    <i>
      <x v="65"/>
    </i>
    <i r="1">
      <x v="26"/>
      <x v="25"/>
      <x v="1"/>
      <x/>
      <x v="4"/>
    </i>
    <i r="1">
      <x v="41"/>
      <x v="60"/>
      <x v="1"/>
      <x v="2"/>
      <x/>
    </i>
    <i r="1">
      <x v="48"/>
      <x v="65"/>
      <x v="1"/>
      <x v="3"/>
      <x/>
    </i>
    <i>
      <x v="66"/>
    </i>
    <i r="1">
      <x v="35"/>
      <x v="8"/>
      <x v="1"/>
      <x/>
      <x v="4"/>
    </i>
    <i>
      <x v="67"/>
    </i>
    <i r="1">
      <x v="35"/>
      <x v="21"/>
      <x v="1"/>
      <x/>
      <x v="4"/>
    </i>
    <i>
      <x v="68"/>
    </i>
    <i r="1">
      <x v="22"/>
      <x v="51"/>
      <x v="1"/>
      <x/>
      <x v="4"/>
    </i>
    <i>
      <x v="69"/>
    </i>
    <i r="1">
      <x v="44"/>
      <x v="46"/>
      <x v="1"/>
      <x/>
      <x v="4"/>
    </i>
    <i>
      <x v="70"/>
    </i>
    <i r="1">
      <x v="44"/>
      <x v="45"/>
      <x v="1"/>
      <x/>
      <x v="4"/>
    </i>
    <i>
      <x v="71"/>
    </i>
    <i r="1">
      <x v="43"/>
      <x v="44"/>
      <x v="1"/>
      <x/>
      <x v="4"/>
    </i>
    <i r="1">
      <x v="53"/>
      <x v="63"/>
      <x v="1"/>
      <x v="2"/>
      <x/>
    </i>
    <i r="1">
      <x v="62"/>
      <x v="71"/>
      <x v="1"/>
      <x v="4"/>
      <x/>
    </i>
    <i r="1">
      <x v="68"/>
      <x v="84"/>
      <x/>
      <x v="4"/>
      <x v="2"/>
    </i>
    <i r="1">
      <x v="72"/>
      <x v="91"/>
      <x/>
      <x v="4"/>
      <x v="3"/>
    </i>
    <i>
      <x v="72"/>
    </i>
    <i r="1">
      <x v="31"/>
      <x v="48"/>
      <x v="1"/>
      <x/>
      <x v="4"/>
    </i>
    <i>
      <x v="73"/>
    </i>
    <i r="1">
      <x v="23"/>
      <x v="8"/>
      <x v="1"/>
      <x/>
      <x v="4"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 HP" fld="4" baseField="0" baseItem="0"/>
    <dataField name=" STAM" fld="6" baseField="0" baseItem="0"/>
    <dataField name=" WH" fld="8" baseField="0" baseItem="0"/>
    <dataField name=" DMG" fld="10" baseField="0" baseItem="0"/>
    <dataField name=" OX" fld="12" baseField="0" baseItem="0"/>
    <dataField name=" FOOD" fld="14" baseField="0" baseItem="0"/>
  </dataFields>
  <formats count="844">
    <format dxfId="843">
      <pivotArea field="0" type="button" dataOnly="0" labelOnly="1" outline="0" axis="axisRow" fieldPosition="0"/>
    </format>
    <format dxfId="842">
      <pivotArea field="1" type="button" dataOnly="0" labelOnly="1" outline="0" axis="axisRow" fieldPosition="1"/>
    </format>
    <format dxfId="841">
      <pivotArea field="3" type="button" dataOnly="0" labelOnly="1" outline="0" axis="axisRow" fieldPosition="2"/>
    </format>
    <format dxfId="840">
      <pivotArea field="18" type="button" dataOnly="0" labelOnly="1" outline="0" axis="axisRow" fieldPosition="4"/>
    </format>
    <format dxfId="839">
      <pivotArea field="5" type="button" dataOnly="0" labelOnly="1" outline="0" axis="axisRow" fieldPosition="5"/>
    </format>
    <format dxfId="838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837">
      <pivotArea field="0" type="button" dataOnly="0" labelOnly="1" outline="0" axis="axisRow" fieldPosition="0"/>
    </format>
    <format dxfId="836">
      <pivotArea field="1" type="button" dataOnly="0" labelOnly="1" outline="0" axis="axisRow" fieldPosition="1"/>
    </format>
    <format dxfId="835">
      <pivotArea field="3" type="button" dataOnly="0" labelOnly="1" outline="0" axis="axisRow" fieldPosition="2"/>
    </format>
    <format dxfId="834">
      <pivotArea field="0" type="button" dataOnly="0" labelOnly="1" outline="0" axis="axisRow" fieldPosition="0"/>
    </format>
    <format dxfId="833">
      <pivotArea dataOnly="0" labelOnly="1" outline="0" fieldPosition="0">
        <references count="1">
          <reference field="0" count="1">
            <x v="0"/>
          </reference>
        </references>
      </pivotArea>
    </format>
    <format dxfId="832">
      <pivotArea dataOnly="0" labelOnly="1" outline="0" fieldPosition="0">
        <references count="1">
          <reference field="0" count="1">
            <x v="1"/>
          </reference>
        </references>
      </pivotArea>
    </format>
    <format dxfId="831">
      <pivotArea dataOnly="0" labelOnly="1" outline="0" fieldPosition="0">
        <references count="1">
          <reference field="0" count="1">
            <x v="2"/>
          </reference>
        </references>
      </pivotArea>
    </format>
    <format dxfId="830">
      <pivotArea dataOnly="0" labelOnly="1" outline="0" fieldPosition="0">
        <references count="1">
          <reference field="0" count="1">
            <x v="3"/>
          </reference>
        </references>
      </pivotArea>
    </format>
    <format dxfId="829">
      <pivotArea dataOnly="0" labelOnly="1" outline="0" fieldPosition="0">
        <references count="1">
          <reference field="0" count="1">
            <x v="4"/>
          </reference>
        </references>
      </pivotArea>
    </format>
    <format dxfId="828">
      <pivotArea dataOnly="0" labelOnly="1" outline="0" fieldPosition="0">
        <references count="1">
          <reference field="0" count="1">
            <x v="5"/>
          </reference>
        </references>
      </pivotArea>
    </format>
    <format dxfId="827">
      <pivotArea dataOnly="0" labelOnly="1" outline="0" fieldPosition="0">
        <references count="1">
          <reference field="0" count="1">
            <x v="6"/>
          </reference>
        </references>
      </pivotArea>
    </format>
    <format dxfId="826">
      <pivotArea dataOnly="0" labelOnly="1" outline="0" fieldPosition="0">
        <references count="1">
          <reference field="0" count="1">
            <x v="7"/>
          </reference>
        </references>
      </pivotArea>
    </format>
    <format dxfId="825">
      <pivotArea dataOnly="0" labelOnly="1" outline="0" fieldPosition="0">
        <references count="1">
          <reference field="0" count="1">
            <x v="8"/>
          </reference>
        </references>
      </pivotArea>
    </format>
    <format dxfId="824">
      <pivotArea dataOnly="0" labelOnly="1" outline="0" fieldPosition="0">
        <references count="1">
          <reference field="0" count="1">
            <x v="9"/>
          </reference>
        </references>
      </pivotArea>
    </format>
    <format dxfId="823">
      <pivotArea dataOnly="0" labelOnly="1" outline="0" fieldPosition="0">
        <references count="1">
          <reference field="0" count="1">
            <x v="10"/>
          </reference>
        </references>
      </pivotArea>
    </format>
    <format dxfId="822">
      <pivotArea dataOnly="0" labelOnly="1" outline="0" fieldPosition="0">
        <references count="1">
          <reference field="0" count="1">
            <x v="11"/>
          </reference>
        </references>
      </pivotArea>
    </format>
    <format dxfId="821">
      <pivotArea dataOnly="0" labelOnly="1" outline="0" fieldPosition="0">
        <references count="1">
          <reference field="0" count="1">
            <x v="12"/>
          </reference>
        </references>
      </pivotArea>
    </format>
    <format dxfId="820">
      <pivotArea dataOnly="0" labelOnly="1" outline="0" fieldPosition="0">
        <references count="1">
          <reference field="0" count="1">
            <x v="13"/>
          </reference>
        </references>
      </pivotArea>
    </format>
    <format dxfId="819">
      <pivotArea dataOnly="0" labelOnly="1" outline="0" fieldPosition="0">
        <references count="1">
          <reference field="0" count="1">
            <x v="14"/>
          </reference>
        </references>
      </pivotArea>
    </format>
    <format dxfId="818">
      <pivotArea dataOnly="0" labelOnly="1" outline="0" fieldPosition="0">
        <references count="1">
          <reference field="0" count="1">
            <x v="15"/>
          </reference>
        </references>
      </pivotArea>
    </format>
    <format dxfId="817">
      <pivotArea dataOnly="0" labelOnly="1" outline="0" fieldPosition="0">
        <references count="1">
          <reference field="0" count="1">
            <x v="16"/>
          </reference>
        </references>
      </pivotArea>
    </format>
    <format dxfId="816">
      <pivotArea dataOnly="0" labelOnly="1" outline="0" fieldPosition="0">
        <references count="1">
          <reference field="0" count="1">
            <x v="17"/>
          </reference>
        </references>
      </pivotArea>
    </format>
    <format dxfId="815">
      <pivotArea dataOnly="0" labelOnly="1" outline="0" fieldPosition="0">
        <references count="1">
          <reference field="0" count="1">
            <x v="18"/>
          </reference>
        </references>
      </pivotArea>
    </format>
    <format dxfId="814">
      <pivotArea dataOnly="0" labelOnly="1" outline="0" fieldPosition="0">
        <references count="1">
          <reference field="0" count="1">
            <x v="19"/>
          </reference>
        </references>
      </pivotArea>
    </format>
    <format dxfId="813">
      <pivotArea dataOnly="0" labelOnly="1" outline="0" fieldPosition="0">
        <references count="1">
          <reference field="0" count="1">
            <x v="20"/>
          </reference>
        </references>
      </pivotArea>
    </format>
    <format dxfId="812">
      <pivotArea dataOnly="0" labelOnly="1" outline="0" fieldPosition="0">
        <references count="1">
          <reference field="0" count="1">
            <x v="21"/>
          </reference>
        </references>
      </pivotArea>
    </format>
    <format dxfId="811">
      <pivotArea dataOnly="0" labelOnly="1" outline="0" fieldPosition="0">
        <references count="1">
          <reference field="0" count="1">
            <x v="22"/>
          </reference>
        </references>
      </pivotArea>
    </format>
    <format dxfId="810">
      <pivotArea dataOnly="0" labelOnly="1" outline="0" fieldPosition="0">
        <references count="1">
          <reference field="0" count="1">
            <x v="23"/>
          </reference>
        </references>
      </pivotArea>
    </format>
    <format dxfId="809">
      <pivotArea dataOnly="0" labelOnly="1" outline="0" fieldPosition="0">
        <references count="1">
          <reference field="0" count="1">
            <x v="24"/>
          </reference>
        </references>
      </pivotArea>
    </format>
    <format dxfId="808">
      <pivotArea dataOnly="0" labelOnly="1" outline="0" fieldPosition="0">
        <references count="1">
          <reference field="0" count="1">
            <x v="25"/>
          </reference>
        </references>
      </pivotArea>
    </format>
    <format dxfId="807">
      <pivotArea dataOnly="0" labelOnly="1" outline="0" fieldPosition="0">
        <references count="1">
          <reference field="0" count="1">
            <x v="26"/>
          </reference>
        </references>
      </pivotArea>
    </format>
    <format dxfId="806">
      <pivotArea dataOnly="0" labelOnly="1" outline="0" fieldPosition="0">
        <references count="1">
          <reference field="0" count="1">
            <x v="27"/>
          </reference>
        </references>
      </pivotArea>
    </format>
    <format dxfId="805">
      <pivotArea dataOnly="0" labelOnly="1" outline="0" fieldPosition="0">
        <references count="1">
          <reference field="0" count="1">
            <x v="28"/>
          </reference>
        </references>
      </pivotArea>
    </format>
    <format dxfId="804">
      <pivotArea dataOnly="0" labelOnly="1" outline="0" fieldPosition="0">
        <references count="1">
          <reference field="0" count="1">
            <x v="29"/>
          </reference>
        </references>
      </pivotArea>
    </format>
    <format dxfId="803">
      <pivotArea dataOnly="0" labelOnly="1" outline="0" fieldPosition="0">
        <references count="1">
          <reference field="0" count="1">
            <x v="30"/>
          </reference>
        </references>
      </pivotArea>
    </format>
    <format dxfId="802">
      <pivotArea dataOnly="0" labelOnly="1" outline="0" fieldPosition="0">
        <references count="1">
          <reference field="0" count="1">
            <x v="31"/>
          </reference>
        </references>
      </pivotArea>
    </format>
    <format dxfId="801">
      <pivotArea dataOnly="0" labelOnly="1" outline="0" fieldPosition="0">
        <references count="1">
          <reference field="0" count="1">
            <x v="32"/>
          </reference>
        </references>
      </pivotArea>
    </format>
    <format dxfId="800">
      <pivotArea dataOnly="0" labelOnly="1" outline="0" fieldPosition="0">
        <references count="1">
          <reference field="0" count="1">
            <x v="33"/>
          </reference>
        </references>
      </pivotArea>
    </format>
    <format dxfId="799">
      <pivotArea dataOnly="0" labelOnly="1" outline="0" fieldPosition="0">
        <references count="1">
          <reference field="0" count="1">
            <x v="34"/>
          </reference>
        </references>
      </pivotArea>
    </format>
    <format dxfId="798">
      <pivotArea dataOnly="0" labelOnly="1" outline="0" fieldPosition="0">
        <references count="1">
          <reference field="0" count="1">
            <x v="35"/>
          </reference>
        </references>
      </pivotArea>
    </format>
    <format dxfId="797">
      <pivotArea dataOnly="0" labelOnly="1" outline="0" fieldPosition="0">
        <references count="1">
          <reference field="0" count="1">
            <x v="36"/>
          </reference>
        </references>
      </pivotArea>
    </format>
    <format dxfId="796">
      <pivotArea dataOnly="0" labelOnly="1" outline="0" fieldPosition="0">
        <references count="1">
          <reference field="0" count="1">
            <x v="37"/>
          </reference>
        </references>
      </pivotArea>
    </format>
    <format dxfId="795">
      <pivotArea dataOnly="0" labelOnly="1" outline="0" fieldPosition="0">
        <references count="1">
          <reference field="0" count="1">
            <x v="38"/>
          </reference>
        </references>
      </pivotArea>
    </format>
    <format dxfId="794">
      <pivotArea dataOnly="0" labelOnly="1" outline="0" fieldPosition="0">
        <references count="1">
          <reference field="0" count="1">
            <x v="39"/>
          </reference>
        </references>
      </pivotArea>
    </format>
    <format dxfId="793">
      <pivotArea dataOnly="0" labelOnly="1" outline="0" fieldPosition="0">
        <references count="1">
          <reference field="0" count="1">
            <x v="40"/>
          </reference>
        </references>
      </pivotArea>
    </format>
    <format dxfId="792">
      <pivotArea dataOnly="0" labelOnly="1" outline="0" fieldPosition="0">
        <references count="1">
          <reference field="0" count="1">
            <x v="41"/>
          </reference>
        </references>
      </pivotArea>
    </format>
    <format dxfId="791">
      <pivotArea dataOnly="0" labelOnly="1" outline="0" fieldPosition="0">
        <references count="1">
          <reference field="0" count="1">
            <x v="42"/>
          </reference>
        </references>
      </pivotArea>
    </format>
    <format dxfId="790">
      <pivotArea dataOnly="0" labelOnly="1" outline="0" fieldPosition="0">
        <references count="1">
          <reference field="0" count="1">
            <x v="43"/>
          </reference>
        </references>
      </pivotArea>
    </format>
    <format dxfId="789">
      <pivotArea dataOnly="0" labelOnly="1" outline="0" fieldPosition="0">
        <references count="1">
          <reference field="0" count="1">
            <x v="44"/>
          </reference>
        </references>
      </pivotArea>
    </format>
    <format dxfId="788">
      <pivotArea dataOnly="0" labelOnly="1" outline="0" fieldPosition="0">
        <references count="1">
          <reference field="0" count="1">
            <x v="45"/>
          </reference>
        </references>
      </pivotArea>
    </format>
    <format dxfId="787">
      <pivotArea dataOnly="0" labelOnly="1" outline="0" fieldPosition="0">
        <references count="1">
          <reference field="0" count="1">
            <x v="46"/>
          </reference>
        </references>
      </pivotArea>
    </format>
    <format dxfId="786">
      <pivotArea dataOnly="0" labelOnly="1" outline="0" fieldPosition="0">
        <references count="1">
          <reference field="0" count="1">
            <x v="47"/>
          </reference>
        </references>
      </pivotArea>
    </format>
    <format dxfId="785">
      <pivotArea dataOnly="0" labelOnly="1" outline="0" fieldPosition="0">
        <references count="1">
          <reference field="0" count="1">
            <x v="48"/>
          </reference>
        </references>
      </pivotArea>
    </format>
    <format dxfId="784">
      <pivotArea dataOnly="0" labelOnly="1" outline="0" fieldPosition="0">
        <references count="1">
          <reference field="0" count="1">
            <x v="49"/>
          </reference>
        </references>
      </pivotArea>
    </format>
    <format dxfId="783">
      <pivotArea dataOnly="0" labelOnly="1" outline="0" fieldPosition="0">
        <references count="1">
          <reference field="0" count="1">
            <x v="50"/>
          </reference>
        </references>
      </pivotArea>
    </format>
    <format dxfId="782">
      <pivotArea dataOnly="0" labelOnly="1" outline="0" fieldPosition="0">
        <references count="1">
          <reference field="0" count="1">
            <x v="51"/>
          </reference>
        </references>
      </pivotArea>
    </format>
    <format dxfId="781">
      <pivotArea dataOnly="0" labelOnly="1" outline="0" fieldPosition="0">
        <references count="1">
          <reference field="0" count="1">
            <x v="52"/>
          </reference>
        </references>
      </pivotArea>
    </format>
    <format dxfId="780">
      <pivotArea dataOnly="0" labelOnly="1" outline="0" fieldPosition="0">
        <references count="1">
          <reference field="0" count="1">
            <x v="53"/>
          </reference>
        </references>
      </pivotArea>
    </format>
    <format dxfId="779">
      <pivotArea dataOnly="0" labelOnly="1" outline="0" fieldPosition="0">
        <references count="1">
          <reference field="0" count="1">
            <x v="54"/>
          </reference>
        </references>
      </pivotArea>
    </format>
    <format dxfId="778">
      <pivotArea dataOnly="0" labelOnly="1" outline="0" fieldPosition="0">
        <references count="1">
          <reference field="0" count="1">
            <x v="55"/>
          </reference>
        </references>
      </pivotArea>
    </format>
    <format dxfId="777">
      <pivotArea dataOnly="0" labelOnly="1" outline="0" fieldPosition="0">
        <references count="1">
          <reference field="0" count="1">
            <x v="56"/>
          </reference>
        </references>
      </pivotArea>
    </format>
    <format dxfId="776">
      <pivotArea dataOnly="0" labelOnly="1" outline="0" fieldPosition="0">
        <references count="1">
          <reference field="0" count="1">
            <x v="57"/>
          </reference>
        </references>
      </pivotArea>
    </format>
    <format dxfId="775">
      <pivotArea dataOnly="0" labelOnly="1" outline="0" fieldPosition="0">
        <references count="1">
          <reference field="0" count="1">
            <x v="58"/>
          </reference>
        </references>
      </pivotArea>
    </format>
    <format dxfId="774">
      <pivotArea dataOnly="0" labelOnly="1" outline="0" fieldPosition="0">
        <references count="1">
          <reference field="0" count="1">
            <x v="59"/>
          </reference>
        </references>
      </pivotArea>
    </format>
    <format dxfId="773">
      <pivotArea dataOnly="0" labelOnly="1" outline="0" fieldPosition="0">
        <references count="1">
          <reference field="0" count="1">
            <x v="60"/>
          </reference>
        </references>
      </pivotArea>
    </format>
    <format dxfId="772">
      <pivotArea dataOnly="0" labelOnly="1" outline="0" fieldPosition="0">
        <references count="1">
          <reference field="0" count="1">
            <x v="61"/>
          </reference>
        </references>
      </pivotArea>
    </format>
    <format dxfId="771">
      <pivotArea dataOnly="0" labelOnly="1" outline="0" fieldPosition="0">
        <references count="1">
          <reference field="0" count="1">
            <x v="62"/>
          </reference>
        </references>
      </pivotArea>
    </format>
    <format dxfId="770">
      <pivotArea dataOnly="0" labelOnly="1" outline="0" fieldPosition="0">
        <references count="1">
          <reference field="0" count="1">
            <x v="63"/>
          </reference>
        </references>
      </pivotArea>
    </format>
    <format dxfId="769">
      <pivotArea dataOnly="0" labelOnly="1" outline="0" fieldPosition="0">
        <references count="1">
          <reference field="0" count="1">
            <x v="64"/>
          </reference>
        </references>
      </pivotArea>
    </format>
    <format dxfId="768">
      <pivotArea dataOnly="0" labelOnly="1" outline="0" fieldPosition="0">
        <references count="1">
          <reference field="0" count="1">
            <x v="65"/>
          </reference>
        </references>
      </pivotArea>
    </format>
    <format dxfId="767">
      <pivotArea dataOnly="0" labelOnly="1" outline="0" fieldPosition="0">
        <references count="1">
          <reference field="0" count="1">
            <x v="66"/>
          </reference>
        </references>
      </pivotArea>
    </format>
    <format dxfId="766">
      <pivotArea dataOnly="0" labelOnly="1" outline="0" fieldPosition="0">
        <references count="1">
          <reference field="0" count="1">
            <x v="67"/>
          </reference>
        </references>
      </pivotArea>
    </format>
    <format dxfId="765">
      <pivotArea dataOnly="0" labelOnly="1" outline="0" fieldPosition="0">
        <references count="1">
          <reference field="0" count="1">
            <x v="68"/>
          </reference>
        </references>
      </pivotArea>
    </format>
    <format dxfId="764">
      <pivotArea dataOnly="0" labelOnly="1" outline="0" fieldPosition="0">
        <references count="1">
          <reference field="0" count="1">
            <x v="69"/>
          </reference>
        </references>
      </pivotArea>
    </format>
    <format dxfId="763">
      <pivotArea dataOnly="0" labelOnly="1" outline="0" fieldPosition="0">
        <references count="1">
          <reference field="0" count="1">
            <x v="70"/>
          </reference>
        </references>
      </pivotArea>
    </format>
    <format dxfId="762">
      <pivotArea dataOnly="0" labelOnly="1" outline="0" fieldPosition="0">
        <references count="1">
          <reference field="0" count="1">
            <x v="71"/>
          </reference>
        </references>
      </pivotArea>
    </format>
    <format dxfId="761">
      <pivotArea dataOnly="0" labelOnly="1" outline="0" fieldPosition="0">
        <references count="1">
          <reference field="0" count="1">
            <x v="72"/>
          </reference>
        </references>
      </pivotArea>
    </format>
    <format dxfId="760">
      <pivotArea dataOnly="0" labelOnly="1" outline="0" fieldPosition="0">
        <references count="1">
          <reference field="0" count="1">
            <x v="73"/>
          </reference>
        </references>
      </pivotArea>
    </format>
    <format dxfId="759">
      <pivotArea dataOnly="0" fieldPosition="0">
        <references count="1">
          <reference field="0" count="1">
            <x v="6"/>
          </reference>
        </references>
      </pivotArea>
    </format>
    <format dxfId="758">
      <pivotArea field="1" type="button" dataOnly="0" labelOnly="1" outline="0" axis="axisRow" fieldPosition="1"/>
    </format>
    <format dxfId="757">
      <pivotArea field="3" type="button" dataOnly="0" labelOnly="1" outline="0" axis="axisRow" fieldPosition="2"/>
    </format>
    <format dxfId="756">
      <pivotArea field="0" type="button" dataOnly="0" labelOnly="1" outline="0" axis="axisRow" fieldPosition="0"/>
    </format>
    <format dxfId="755">
      <pivotArea field="1" type="button" dataOnly="0" labelOnly="1" outline="0" axis="axisRow" fieldPosition="1"/>
    </format>
    <format dxfId="754">
      <pivotArea field="3" type="button" dataOnly="0" labelOnly="1" outline="0" axis="axisRow" fieldPosition="2"/>
    </format>
    <format dxfId="753">
      <pivotArea field="16" type="button" dataOnly="0" labelOnly="1" outline="0" axis="axisRow" fieldPosition="3"/>
    </format>
    <format dxfId="752">
      <pivotArea field="18" type="button" dataOnly="0" labelOnly="1" outline="0" axis="axisRow" fieldPosition="4"/>
    </format>
    <format dxfId="751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750">
      <pivotArea field="5" type="button" dataOnly="0" labelOnly="1" outline="0" axis="axisRow" fieldPosition="5"/>
    </format>
    <format dxfId="749">
      <pivotArea dataOnly="0" labelOnly="1" outline="0" fieldPosition="0">
        <references count="1">
          <reference field="0" count="1">
            <x v="0"/>
          </reference>
        </references>
      </pivotArea>
    </format>
    <format dxfId="748">
      <pivotArea dataOnly="0" labelOnly="1" outline="0" fieldPosition="0">
        <references count="1">
          <reference field="0" count="1">
            <x v="1"/>
          </reference>
        </references>
      </pivotArea>
    </format>
    <format dxfId="747">
      <pivotArea dataOnly="0" labelOnly="1" outline="0" fieldPosition="0">
        <references count="1">
          <reference field="0" count="1">
            <x v="2"/>
          </reference>
        </references>
      </pivotArea>
    </format>
    <format dxfId="746">
      <pivotArea dataOnly="0" labelOnly="1" outline="0" fieldPosition="0">
        <references count="1">
          <reference field="0" count="1">
            <x v="3"/>
          </reference>
        </references>
      </pivotArea>
    </format>
    <format dxfId="745">
      <pivotArea dataOnly="0" labelOnly="1" outline="0" fieldPosition="0">
        <references count="1">
          <reference field="0" count="1">
            <x v="4"/>
          </reference>
        </references>
      </pivotArea>
    </format>
    <format dxfId="744">
      <pivotArea dataOnly="0" labelOnly="1" outline="0" fieldPosition="0">
        <references count="1">
          <reference field="0" count="1">
            <x v="5"/>
          </reference>
        </references>
      </pivotArea>
    </format>
    <format dxfId="743">
      <pivotArea dataOnly="0" labelOnly="1" outline="0" fieldPosition="0">
        <references count="1">
          <reference field="0" count="1">
            <x v="6"/>
          </reference>
        </references>
      </pivotArea>
    </format>
    <format dxfId="742">
      <pivotArea dataOnly="0" labelOnly="1" outline="0" fieldPosition="0">
        <references count="1">
          <reference field="0" count="1">
            <x v="7"/>
          </reference>
        </references>
      </pivotArea>
    </format>
    <format dxfId="741">
      <pivotArea dataOnly="0" labelOnly="1" outline="0" fieldPosition="0">
        <references count="1">
          <reference field="0" count="1">
            <x v="8"/>
          </reference>
        </references>
      </pivotArea>
    </format>
    <format dxfId="740">
      <pivotArea dataOnly="0" labelOnly="1" outline="0" fieldPosition="0">
        <references count="1">
          <reference field="0" count="1">
            <x v="9"/>
          </reference>
        </references>
      </pivotArea>
    </format>
    <format dxfId="739">
      <pivotArea dataOnly="0" labelOnly="1" outline="0" fieldPosition="0">
        <references count="1">
          <reference field="0" count="1">
            <x v="10"/>
          </reference>
        </references>
      </pivotArea>
    </format>
    <format dxfId="738">
      <pivotArea dataOnly="0" labelOnly="1" outline="0" fieldPosition="0">
        <references count="1">
          <reference field="0" count="1">
            <x v="11"/>
          </reference>
        </references>
      </pivotArea>
    </format>
    <format dxfId="737">
      <pivotArea dataOnly="0" labelOnly="1" outline="0" fieldPosition="0">
        <references count="1">
          <reference field="0" count="1">
            <x v="12"/>
          </reference>
        </references>
      </pivotArea>
    </format>
    <format dxfId="736">
      <pivotArea dataOnly="0" labelOnly="1" outline="0" fieldPosition="0">
        <references count="1">
          <reference field="0" count="1">
            <x v="13"/>
          </reference>
        </references>
      </pivotArea>
    </format>
    <format dxfId="735">
      <pivotArea dataOnly="0" labelOnly="1" outline="0" fieldPosition="0">
        <references count="1">
          <reference field="0" count="1">
            <x v="14"/>
          </reference>
        </references>
      </pivotArea>
    </format>
    <format dxfId="734">
      <pivotArea dataOnly="0" labelOnly="1" outline="0" fieldPosition="0">
        <references count="1">
          <reference field="0" count="1">
            <x v="15"/>
          </reference>
        </references>
      </pivotArea>
    </format>
    <format dxfId="733">
      <pivotArea dataOnly="0" labelOnly="1" outline="0" fieldPosition="0">
        <references count="1">
          <reference field="0" count="1">
            <x v="16"/>
          </reference>
        </references>
      </pivotArea>
    </format>
    <format dxfId="732">
      <pivotArea dataOnly="0" labelOnly="1" outline="0" fieldPosition="0">
        <references count="1">
          <reference field="0" count="1">
            <x v="17"/>
          </reference>
        </references>
      </pivotArea>
    </format>
    <format dxfId="731">
      <pivotArea dataOnly="0" labelOnly="1" outline="0" fieldPosition="0">
        <references count="1">
          <reference field="0" count="1">
            <x v="18"/>
          </reference>
        </references>
      </pivotArea>
    </format>
    <format dxfId="730">
      <pivotArea dataOnly="0" labelOnly="1" outline="0" fieldPosition="0">
        <references count="1">
          <reference field="0" count="1">
            <x v="19"/>
          </reference>
        </references>
      </pivotArea>
    </format>
    <format dxfId="729">
      <pivotArea dataOnly="0" labelOnly="1" outline="0" fieldPosition="0">
        <references count="1">
          <reference field="0" count="1">
            <x v="20"/>
          </reference>
        </references>
      </pivotArea>
    </format>
    <format dxfId="728">
      <pivotArea dataOnly="0" labelOnly="1" outline="0" fieldPosition="0">
        <references count="1">
          <reference field="0" count="1">
            <x v="21"/>
          </reference>
        </references>
      </pivotArea>
    </format>
    <format dxfId="727">
      <pivotArea dataOnly="0" labelOnly="1" outline="0" fieldPosition="0">
        <references count="1">
          <reference field="0" count="1">
            <x v="22"/>
          </reference>
        </references>
      </pivotArea>
    </format>
    <format dxfId="726">
      <pivotArea dataOnly="0" labelOnly="1" outline="0" fieldPosition="0">
        <references count="1">
          <reference field="0" count="1">
            <x v="23"/>
          </reference>
        </references>
      </pivotArea>
    </format>
    <format dxfId="725">
      <pivotArea dataOnly="0" labelOnly="1" outline="0" fieldPosition="0">
        <references count="1">
          <reference field="0" count="1">
            <x v="24"/>
          </reference>
        </references>
      </pivotArea>
    </format>
    <format dxfId="724">
      <pivotArea dataOnly="0" labelOnly="1" outline="0" fieldPosition="0">
        <references count="1">
          <reference field="0" count="1">
            <x v="25"/>
          </reference>
        </references>
      </pivotArea>
    </format>
    <format dxfId="723">
      <pivotArea dataOnly="0" labelOnly="1" outline="0" fieldPosition="0">
        <references count="1">
          <reference field="0" count="1">
            <x v="26"/>
          </reference>
        </references>
      </pivotArea>
    </format>
    <format dxfId="722">
      <pivotArea dataOnly="0" labelOnly="1" outline="0" fieldPosition="0">
        <references count="1">
          <reference field="0" count="1">
            <x v="27"/>
          </reference>
        </references>
      </pivotArea>
    </format>
    <format dxfId="721">
      <pivotArea dataOnly="0" labelOnly="1" outline="0" fieldPosition="0">
        <references count="1">
          <reference field="0" count="1">
            <x v="28"/>
          </reference>
        </references>
      </pivotArea>
    </format>
    <format dxfId="720">
      <pivotArea dataOnly="0" labelOnly="1" outline="0" fieldPosition="0">
        <references count="1">
          <reference field="0" count="1">
            <x v="29"/>
          </reference>
        </references>
      </pivotArea>
    </format>
    <format dxfId="719">
      <pivotArea dataOnly="0" labelOnly="1" outline="0" fieldPosition="0">
        <references count="1">
          <reference field="0" count="1">
            <x v="30"/>
          </reference>
        </references>
      </pivotArea>
    </format>
    <format dxfId="718">
      <pivotArea dataOnly="0" labelOnly="1" outline="0" fieldPosition="0">
        <references count="1">
          <reference field="0" count="1">
            <x v="31"/>
          </reference>
        </references>
      </pivotArea>
    </format>
    <format dxfId="717">
      <pivotArea dataOnly="0" labelOnly="1" outline="0" fieldPosition="0">
        <references count="1">
          <reference field="0" count="1">
            <x v="32"/>
          </reference>
        </references>
      </pivotArea>
    </format>
    <format dxfId="716">
      <pivotArea dataOnly="0" labelOnly="1" outline="0" fieldPosition="0">
        <references count="1">
          <reference field="0" count="1">
            <x v="33"/>
          </reference>
        </references>
      </pivotArea>
    </format>
    <format dxfId="715">
      <pivotArea dataOnly="0" labelOnly="1" outline="0" fieldPosition="0">
        <references count="1">
          <reference field="0" count="1">
            <x v="34"/>
          </reference>
        </references>
      </pivotArea>
    </format>
    <format dxfId="714">
      <pivotArea dataOnly="0" labelOnly="1" outline="0" fieldPosition="0">
        <references count="1">
          <reference field="0" count="1">
            <x v="35"/>
          </reference>
        </references>
      </pivotArea>
    </format>
    <format dxfId="713">
      <pivotArea dataOnly="0" labelOnly="1" outline="0" fieldPosition="0">
        <references count="1">
          <reference field="0" count="1">
            <x v="36"/>
          </reference>
        </references>
      </pivotArea>
    </format>
    <format dxfId="712">
      <pivotArea dataOnly="0" labelOnly="1" outline="0" fieldPosition="0">
        <references count="1">
          <reference field="0" count="1">
            <x v="37"/>
          </reference>
        </references>
      </pivotArea>
    </format>
    <format dxfId="711">
      <pivotArea dataOnly="0" labelOnly="1" outline="0" fieldPosition="0">
        <references count="1">
          <reference field="0" count="1">
            <x v="38"/>
          </reference>
        </references>
      </pivotArea>
    </format>
    <format dxfId="710">
      <pivotArea dataOnly="0" labelOnly="1" outline="0" fieldPosition="0">
        <references count="1">
          <reference field="0" count="1">
            <x v="39"/>
          </reference>
        </references>
      </pivotArea>
    </format>
    <format dxfId="709">
      <pivotArea dataOnly="0" labelOnly="1" outline="0" fieldPosition="0">
        <references count="1">
          <reference field="0" count="1">
            <x v="40"/>
          </reference>
        </references>
      </pivotArea>
    </format>
    <format dxfId="708">
      <pivotArea dataOnly="0" labelOnly="1" outline="0" fieldPosition="0">
        <references count="1">
          <reference field="0" count="1">
            <x v="41"/>
          </reference>
        </references>
      </pivotArea>
    </format>
    <format dxfId="707">
      <pivotArea dataOnly="0" labelOnly="1" outline="0" fieldPosition="0">
        <references count="1">
          <reference field="0" count="1">
            <x v="42"/>
          </reference>
        </references>
      </pivotArea>
    </format>
    <format dxfId="706">
      <pivotArea dataOnly="0" labelOnly="1" outline="0" fieldPosition="0">
        <references count="1">
          <reference field="0" count="1">
            <x v="43"/>
          </reference>
        </references>
      </pivotArea>
    </format>
    <format dxfId="705">
      <pivotArea dataOnly="0" labelOnly="1" outline="0" fieldPosition="0">
        <references count="1">
          <reference field="0" count="1">
            <x v="44"/>
          </reference>
        </references>
      </pivotArea>
    </format>
    <format dxfId="704">
      <pivotArea dataOnly="0" labelOnly="1" outline="0" fieldPosition="0">
        <references count="1">
          <reference field="0" count="1">
            <x v="45"/>
          </reference>
        </references>
      </pivotArea>
    </format>
    <format dxfId="703">
      <pivotArea dataOnly="0" labelOnly="1" outline="0" fieldPosition="0">
        <references count="1">
          <reference field="0" count="1">
            <x v="46"/>
          </reference>
        </references>
      </pivotArea>
    </format>
    <format dxfId="702">
      <pivotArea dataOnly="0" labelOnly="1" outline="0" fieldPosition="0">
        <references count="1">
          <reference field="0" count="1">
            <x v="47"/>
          </reference>
        </references>
      </pivotArea>
    </format>
    <format dxfId="701">
      <pivotArea dataOnly="0" labelOnly="1" outline="0" fieldPosition="0">
        <references count="1">
          <reference field="0" count="1">
            <x v="48"/>
          </reference>
        </references>
      </pivotArea>
    </format>
    <format dxfId="700">
      <pivotArea dataOnly="0" labelOnly="1" outline="0" fieldPosition="0">
        <references count="1">
          <reference field="0" count="1">
            <x v="49"/>
          </reference>
        </references>
      </pivotArea>
    </format>
    <format dxfId="699">
      <pivotArea dataOnly="0" labelOnly="1" outline="0" fieldPosition="0">
        <references count="1">
          <reference field="0" count="1">
            <x v="50"/>
          </reference>
        </references>
      </pivotArea>
    </format>
    <format dxfId="698">
      <pivotArea dataOnly="0" labelOnly="1" outline="0" fieldPosition="0">
        <references count="1">
          <reference field="0" count="1">
            <x v="51"/>
          </reference>
        </references>
      </pivotArea>
    </format>
    <format dxfId="697">
      <pivotArea dataOnly="0" labelOnly="1" outline="0" fieldPosition="0">
        <references count="1">
          <reference field="0" count="1">
            <x v="52"/>
          </reference>
        </references>
      </pivotArea>
    </format>
    <format dxfId="696">
      <pivotArea dataOnly="0" labelOnly="1" outline="0" fieldPosition="0">
        <references count="1">
          <reference field="0" count="1">
            <x v="53"/>
          </reference>
        </references>
      </pivotArea>
    </format>
    <format dxfId="695">
      <pivotArea dataOnly="0" labelOnly="1" outline="0" fieldPosition="0">
        <references count="1">
          <reference field="0" count="1">
            <x v="54"/>
          </reference>
        </references>
      </pivotArea>
    </format>
    <format dxfId="694">
      <pivotArea dataOnly="0" labelOnly="1" outline="0" fieldPosition="0">
        <references count="1">
          <reference field="0" count="1">
            <x v="55"/>
          </reference>
        </references>
      </pivotArea>
    </format>
    <format dxfId="693">
      <pivotArea dataOnly="0" labelOnly="1" outline="0" fieldPosition="0">
        <references count="1">
          <reference field="0" count="1">
            <x v="56"/>
          </reference>
        </references>
      </pivotArea>
    </format>
    <format dxfId="692">
      <pivotArea dataOnly="0" labelOnly="1" outline="0" fieldPosition="0">
        <references count="1">
          <reference field="0" count="1">
            <x v="57"/>
          </reference>
        </references>
      </pivotArea>
    </format>
    <format dxfId="691">
      <pivotArea dataOnly="0" labelOnly="1" outline="0" fieldPosition="0">
        <references count="1">
          <reference field="0" count="1">
            <x v="58"/>
          </reference>
        </references>
      </pivotArea>
    </format>
    <format dxfId="690">
      <pivotArea dataOnly="0" labelOnly="1" outline="0" fieldPosition="0">
        <references count="1">
          <reference field="0" count="1">
            <x v="59"/>
          </reference>
        </references>
      </pivotArea>
    </format>
    <format dxfId="689">
      <pivotArea dataOnly="0" labelOnly="1" outline="0" fieldPosition="0">
        <references count="1">
          <reference field="0" count="1">
            <x v="60"/>
          </reference>
        </references>
      </pivotArea>
    </format>
    <format dxfId="688">
      <pivotArea dataOnly="0" labelOnly="1" outline="0" fieldPosition="0">
        <references count="1">
          <reference field="0" count="1">
            <x v="61"/>
          </reference>
        </references>
      </pivotArea>
    </format>
    <format dxfId="687">
      <pivotArea dataOnly="0" labelOnly="1" outline="0" fieldPosition="0">
        <references count="1">
          <reference field="0" count="1">
            <x v="62"/>
          </reference>
        </references>
      </pivotArea>
    </format>
    <format dxfId="686">
      <pivotArea dataOnly="0" labelOnly="1" outline="0" fieldPosition="0">
        <references count="1">
          <reference field="0" count="1">
            <x v="63"/>
          </reference>
        </references>
      </pivotArea>
    </format>
    <format dxfId="685">
      <pivotArea dataOnly="0" labelOnly="1" outline="0" fieldPosition="0">
        <references count="1">
          <reference field="0" count="1">
            <x v="64"/>
          </reference>
        </references>
      </pivotArea>
    </format>
    <format dxfId="684">
      <pivotArea dataOnly="0" labelOnly="1" outline="0" fieldPosition="0">
        <references count="1">
          <reference field="0" count="1">
            <x v="65"/>
          </reference>
        </references>
      </pivotArea>
    </format>
    <format dxfId="683">
      <pivotArea dataOnly="0" labelOnly="1" outline="0" fieldPosition="0">
        <references count="1">
          <reference field="0" count="1">
            <x v="66"/>
          </reference>
        </references>
      </pivotArea>
    </format>
    <format dxfId="682">
      <pivotArea dataOnly="0" labelOnly="1" outline="0" fieldPosition="0">
        <references count="1">
          <reference field="0" count="1">
            <x v="67"/>
          </reference>
        </references>
      </pivotArea>
    </format>
    <format dxfId="681">
      <pivotArea dataOnly="0" labelOnly="1" outline="0" fieldPosition="0">
        <references count="1">
          <reference field="0" count="1">
            <x v="68"/>
          </reference>
        </references>
      </pivotArea>
    </format>
    <format dxfId="680">
      <pivotArea dataOnly="0" labelOnly="1" outline="0" fieldPosition="0">
        <references count="1">
          <reference field="0" count="1">
            <x v="69"/>
          </reference>
        </references>
      </pivotArea>
    </format>
    <format dxfId="679">
      <pivotArea dataOnly="0" labelOnly="1" outline="0" fieldPosition="0">
        <references count="1">
          <reference field="0" count="1">
            <x v="70"/>
          </reference>
        </references>
      </pivotArea>
    </format>
    <format dxfId="678">
      <pivotArea dataOnly="0" labelOnly="1" outline="0" fieldPosition="0">
        <references count="1">
          <reference field="0" count="1">
            <x v="71"/>
          </reference>
        </references>
      </pivotArea>
    </format>
    <format dxfId="677">
      <pivotArea dataOnly="0" labelOnly="1" outline="0" fieldPosition="0">
        <references count="1">
          <reference field="0" count="1">
            <x v="72"/>
          </reference>
        </references>
      </pivotArea>
    </format>
    <format dxfId="676">
      <pivotArea dataOnly="0" labelOnly="1" outline="0" fieldPosition="0">
        <references count="1">
          <reference field="0" count="1">
            <x v="73"/>
          </reference>
        </references>
      </pivotArea>
    </format>
    <format dxfId="675">
      <pivotArea dataOnly="0" labelOnly="1" outline="0" fieldPosition="0">
        <references count="2">
          <reference field="0" count="1" selected="0">
            <x v="0"/>
          </reference>
          <reference field="1" count="1">
            <x v="37"/>
          </reference>
        </references>
      </pivotArea>
    </format>
    <format dxfId="674">
      <pivotArea dataOnly="0" labelOnly="1" outline="0" fieldPosition="0">
        <references count="2">
          <reference field="0" count="1" selected="0">
            <x v="0"/>
          </reference>
          <reference field="1" count="1">
            <x v="54"/>
          </reference>
        </references>
      </pivotArea>
    </format>
    <format dxfId="673">
      <pivotArea dataOnly="0" labelOnly="1" outline="0" fieldPosition="0">
        <references count="2">
          <reference field="0" count="1" selected="0">
            <x v="1"/>
          </reference>
          <reference field="1" count="1">
            <x v="6"/>
          </reference>
        </references>
      </pivotArea>
    </format>
    <format dxfId="672">
      <pivotArea dataOnly="0" labelOnly="1" outline="0" fieldPosition="0">
        <references count="2">
          <reference field="0" count="1" selected="0">
            <x v="2"/>
          </reference>
          <reference field="1" count="1">
            <x v="5"/>
          </reference>
        </references>
      </pivotArea>
    </format>
    <format dxfId="671">
      <pivotArea dataOnly="0" labelOnly="1" outline="0" fieldPosition="0">
        <references count="2">
          <reference field="0" count="1" selected="0">
            <x v="3"/>
          </reference>
          <reference field="1" count="1">
            <x v="17"/>
          </reference>
        </references>
      </pivotArea>
    </format>
    <format dxfId="670">
      <pivotArea dataOnly="0" labelOnly="1" outline="0" fieldPosition="0">
        <references count="2">
          <reference field="0" count="1" selected="0">
            <x v="4"/>
          </reference>
          <reference field="1" count="1">
            <x v="1"/>
          </reference>
        </references>
      </pivotArea>
    </format>
    <format dxfId="669">
      <pivotArea dataOnly="0" labelOnly="1" outline="0" fieldPosition="0">
        <references count="2">
          <reference field="0" count="1" selected="0">
            <x v="5"/>
          </reference>
          <reference field="1" count="1">
            <x v="40"/>
          </reference>
        </references>
      </pivotArea>
    </format>
    <format dxfId="668">
      <pivotArea dataOnly="0" labelOnly="1" outline="0" fieldPosition="0">
        <references count="2">
          <reference field="0" count="1" selected="0">
            <x v="6"/>
          </reference>
          <reference field="1" count="1">
            <x v="8"/>
          </reference>
        </references>
      </pivotArea>
    </format>
    <format dxfId="667">
      <pivotArea dataOnly="0" labelOnly="1" outline="0" fieldPosition="0">
        <references count="2">
          <reference field="0" count="1" selected="0">
            <x v="7"/>
          </reference>
          <reference field="1" count="1">
            <x v="37"/>
          </reference>
        </references>
      </pivotArea>
    </format>
    <format dxfId="666">
      <pivotArea dataOnly="0" labelOnly="1" outline="0" fieldPosition="0">
        <references count="2">
          <reference field="0" count="1" selected="0">
            <x v="7"/>
          </reference>
          <reference field="1" count="1">
            <x v="55"/>
          </reference>
        </references>
      </pivotArea>
    </format>
    <format dxfId="665">
      <pivotArea dataOnly="0" labelOnly="1" outline="0" fieldPosition="0">
        <references count="2">
          <reference field="0" count="1" selected="0">
            <x v="7"/>
          </reference>
          <reference field="1" count="1">
            <x v="60"/>
          </reference>
        </references>
      </pivotArea>
    </format>
    <format dxfId="664">
      <pivotArea dataOnly="0" labelOnly="1" outline="0" fieldPosition="0">
        <references count="2">
          <reference field="0" count="1" selected="0">
            <x v="7"/>
          </reference>
          <reference field="1" count="1">
            <x v="65"/>
          </reference>
        </references>
      </pivotArea>
    </format>
    <format dxfId="663">
      <pivotArea dataOnly="0" labelOnly="1" outline="0" fieldPosition="0">
        <references count="2">
          <reference field="0" count="1" selected="0">
            <x v="8"/>
          </reference>
          <reference field="1" count="1">
            <x v="27"/>
          </reference>
        </references>
      </pivotArea>
    </format>
    <format dxfId="662">
      <pivotArea dataOnly="0" labelOnly="1" outline="0" fieldPosition="0">
        <references count="2">
          <reference field="0" count="1" selected="0">
            <x v="9"/>
          </reference>
          <reference field="1" count="1">
            <x v="3"/>
          </reference>
        </references>
      </pivotArea>
    </format>
    <format dxfId="661">
      <pivotArea dataOnly="0" labelOnly="1" outline="0" fieldPosition="0">
        <references count="2">
          <reference field="0" count="1" selected="0">
            <x v="10"/>
          </reference>
          <reference field="1" count="1">
            <x v="38"/>
          </reference>
        </references>
      </pivotArea>
    </format>
    <format dxfId="660">
      <pivotArea dataOnly="0" labelOnly="1" outline="0" fieldPosition="0">
        <references count="2">
          <reference field="0" count="1" selected="0">
            <x v="11"/>
          </reference>
          <reference field="1" count="1">
            <x v="23"/>
          </reference>
        </references>
      </pivotArea>
    </format>
    <format dxfId="659">
      <pivotArea dataOnly="0" labelOnly="1" outline="0" fieldPosition="0">
        <references count="2">
          <reference field="0" count="1" selected="0">
            <x v="12"/>
          </reference>
          <reference field="1" count="1">
            <x v="47"/>
          </reference>
        </references>
      </pivotArea>
    </format>
    <format dxfId="658">
      <pivotArea dataOnly="0" labelOnly="1" outline="0" fieldPosition="0">
        <references count="2">
          <reference field="0" count="1" selected="0">
            <x v="12"/>
          </reference>
          <reference field="1" count="1">
            <x v="52"/>
          </reference>
        </references>
      </pivotArea>
    </format>
    <format dxfId="657">
      <pivotArea dataOnly="0" labelOnly="1" outline="0" fieldPosition="0">
        <references count="2">
          <reference field="0" count="1" selected="0">
            <x v="12"/>
          </reference>
          <reference field="1" count="1">
            <x v="58"/>
          </reference>
        </references>
      </pivotArea>
    </format>
    <format dxfId="656">
      <pivotArea dataOnly="0" labelOnly="1" outline="0" fieldPosition="0">
        <references count="2">
          <reference field="0" count="1" selected="0">
            <x v="12"/>
          </reference>
          <reference field="1" count="1">
            <x v="67"/>
          </reference>
        </references>
      </pivotArea>
    </format>
    <format dxfId="655">
      <pivotArea dataOnly="0" labelOnly="1" outline="0" fieldPosition="0">
        <references count="2">
          <reference field="0" count="1" selected="0">
            <x v="12"/>
          </reference>
          <reference field="1" count="1">
            <x v="69"/>
          </reference>
        </references>
      </pivotArea>
    </format>
    <format dxfId="654">
      <pivotArea dataOnly="0" labelOnly="1" outline="0" fieldPosition="0">
        <references count="2">
          <reference field="0" count="1" selected="0">
            <x v="12"/>
          </reference>
          <reference field="1" count="1">
            <x v="73"/>
          </reference>
        </references>
      </pivotArea>
    </format>
    <format dxfId="653">
      <pivotArea dataOnly="0" labelOnly="1" outline="0" fieldPosition="0">
        <references count="2">
          <reference field="0" count="1" selected="0">
            <x v="13"/>
          </reference>
          <reference field="1" count="1">
            <x v="49"/>
          </reference>
        </references>
      </pivotArea>
    </format>
    <format dxfId="652">
      <pivotArea dataOnly="0" labelOnly="1" outline="0" fieldPosition="0">
        <references count="2">
          <reference field="0" count="1" selected="0">
            <x v="14"/>
          </reference>
          <reference field="1" count="1">
            <x v="2"/>
          </reference>
        </references>
      </pivotArea>
    </format>
    <format dxfId="651">
      <pivotArea dataOnly="0" labelOnly="1" outline="0" fieldPosition="0">
        <references count="2">
          <reference field="0" count="1" selected="0">
            <x v="15"/>
          </reference>
          <reference field="1" count="1">
            <x v="3"/>
          </reference>
        </references>
      </pivotArea>
    </format>
    <format dxfId="650">
      <pivotArea dataOnly="0" labelOnly="1" outline="0" fieldPosition="0">
        <references count="2">
          <reference field="0" count="1" selected="0">
            <x v="16"/>
          </reference>
          <reference field="1" count="1">
            <x v="16"/>
          </reference>
        </references>
      </pivotArea>
    </format>
    <format dxfId="649">
      <pivotArea dataOnly="0" labelOnly="1" outline="0" fieldPosition="0">
        <references count="2">
          <reference field="0" count="1" selected="0">
            <x v="16"/>
          </reference>
          <reference field="1" count="1">
            <x v="45"/>
          </reference>
        </references>
      </pivotArea>
    </format>
    <format dxfId="648">
      <pivotArea dataOnly="0" labelOnly="1" outline="0" fieldPosition="0">
        <references count="2">
          <reference field="0" count="1" selected="0">
            <x v="16"/>
          </reference>
          <reference field="1" count="1">
            <x v="52"/>
          </reference>
        </references>
      </pivotArea>
    </format>
    <format dxfId="647">
      <pivotArea dataOnly="0" labelOnly="1" outline="0" fieldPosition="0">
        <references count="2">
          <reference field="0" count="1" selected="0">
            <x v="17"/>
          </reference>
          <reference field="1" count="1">
            <x v="42"/>
          </reference>
        </references>
      </pivotArea>
    </format>
    <format dxfId="646">
      <pivotArea dataOnly="0" labelOnly="1" outline="0" fieldPosition="0">
        <references count="2">
          <reference field="0" count="1" selected="0">
            <x v="17"/>
          </reference>
          <reference field="1" count="1">
            <x v="61"/>
          </reference>
        </references>
      </pivotArea>
    </format>
    <format dxfId="645">
      <pivotArea dataOnly="0" labelOnly="1" outline="0" fieldPosition="0">
        <references count="2">
          <reference field="0" count="1" selected="0">
            <x v="17"/>
          </reference>
          <reference field="1" count="1">
            <x v="66"/>
          </reference>
        </references>
      </pivotArea>
    </format>
    <format dxfId="644">
      <pivotArea dataOnly="0" labelOnly="1" outline="0" fieldPosition="0">
        <references count="2">
          <reference field="0" count="1" selected="0">
            <x v="17"/>
          </reference>
          <reference field="1" count="1">
            <x v="71"/>
          </reference>
        </references>
      </pivotArea>
    </format>
    <format dxfId="643">
      <pivotArea dataOnly="0" labelOnly="1" outline="0" fieldPosition="0">
        <references count="2">
          <reference field="0" count="1" selected="0">
            <x v="18"/>
          </reference>
          <reference field="1" count="1">
            <x v="28"/>
          </reference>
        </references>
      </pivotArea>
    </format>
    <format dxfId="642">
      <pivotArea dataOnly="0" labelOnly="1" outline="0" fieldPosition="0">
        <references count="2">
          <reference field="0" count="1" selected="0">
            <x v="19"/>
          </reference>
          <reference field="1" count="1">
            <x v="30"/>
          </reference>
        </references>
      </pivotArea>
    </format>
    <format dxfId="641">
      <pivotArea dataOnly="0" labelOnly="1" outline="0" fieldPosition="0">
        <references count="2">
          <reference field="0" count="1" selected="0">
            <x v="20"/>
          </reference>
          <reference field="1" count="1">
            <x v="11"/>
          </reference>
        </references>
      </pivotArea>
    </format>
    <format dxfId="640">
      <pivotArea dataOnly="0" labelOnly="1" outline="0" fieldPosition="0">
        <references count="2">
          <reference field="0" count="1" selected="0">
            <x v="21"/>
          </reference>
          <reference field="1" count="1">
            <x v="7"/>
          </reference>
        </references>
      </pivotArea>
    </format>
    <format dxfId="639">
      <pivotArea dataOnly="0" labelOnly="1" outline="0" fieldPosition="0">
        <references count="2">
          <reference field="0" count="1" selected="0">
            <x v="22"/>
          </reference>
          <reference field="1" count="1">
            <x v="5"/>
          </reference>
        </references>
      </pivotArea>
    </format>
    <format dxfId="638">
      <pivotArea dataOnly="0" labelOnly="1" outline="0" fieldPosition="0">
        <references count="2">
          <reference field="0" count="1" selected="0">
            <x v="23"/>
          </reference>
          <reference field="1" count="1">
            <x v="19"/>
          </reference>
        </references>
      </pivotArea>
    </format>
    <format dxfId="637">
      <pivotArea dataOnly="0" labelOnly="1" outline="0" fieldPosition="0">
        <references count="2">
          <reference field="0" count="1" selected="0">
            <x v="23"/>
          </reference>
          <reference field="1" count="1">
            <x v="34"/>
          </reference>
        </references>
      </pivotArea>
    </format>
    <format dxfId="636">
      <pivotArea dataOnly="0" labelOnly="1" outline="0" fieldPosition="0">
        <references count="2">
          <reference field="0" count="1" selected="0">
            <x v="24"/>
          </reference>
          <reference field="1" count="1">
            <x v="60"/>
          </reference>
        </references>
      </pivotArea>
    </format>
    <format dxfId="635">
      <pivotArea dataOnly="0" labelOnly="1" outline="0" fieldPosition="0">
        <references count="2">
          <reference field="0" count="1" selected="0">
            <x v="24"/>
          </reference>
          <reference field="1" count="1">
            <x v="67"/>
          </reference>
        </references>
      </pivotArea>
    </format>
    <format dxfId="634">
      <pivotArea dataOnly="0" labelOnly="1" outline="0" fieldPosition="0">
        <references count="2">
          <reference field="0" count="1" selected="0">
            <x v="24"/>
          </reference>
          <reference field="1" count="1">
            <x v="74"/>
          </reference>
        </references>
      </pivotArea>
    </format>
    <format dxfId="633">
      <pivotArea dataOnly="0" labelOnly="1" outline="0" fieldPosition="0">
        <references count="2">
          <reference field="0" count="1" selected="0">
            <x v="24"/>
          </reference>
          <reference field="1" count="1">
            <x v="75"/>
          </reference>
        </references>
      </pivotArea>
    </format>
    <format dxfId="632">
      <pivotArea dataOnly="0" labelOnly="1" outline="0" fieldPosition="0">
        <references count="2">
          <reference field="0" count="1" selected="0">
            <x v="24"/>
          </reference>
          <reference field="1" count="1">
            <x v="76"/>
          </reference>
        </references>
      </pivotArea>
    </format>
    <format dxfId="631">
      <pivotArea dataOnly="0" labelOnly="1" outline="0" fieldPosition="0">
        <references count="2">
          <reference field="0" count="1" selected="0">
            <x v="25"/>
          </reference>
          <reference field="1" count="1">
            <x v="57"/>
          </reference>
        </references>
      </pivotArea>
    </format>
    <format dxfId="630">
      <pivotArea dataOnly="0" labelOnly="1" outline="0" fieldPosition="0">
        <references count="2">
          <reference field="0" count="1" selected="0">
            <x v="26"/>
          </reference>
          <reference field="1" count="1">
            <x v="32"/>
          </reference>
        </references>
      </pivotArea>
    </format>
    <format dxfId="629">
      <pivotArea dataOnly="0" labelOnly="1" outline="0" fieldPosition="0">
        <references count="2">
          <reference field="0" count="1" selected="0">
            <x v="27"/>
          </reference>
          <reference field="1" count="1">
            <x v="15"/>
          </reference>
        </references>
      </pivotArea>
    </format>
    <format dxfId="628">
      <pivotArea dataOnly="0" labelOnly="1" outline="0" fieldPosition="0">
        <references count="2">
          <reference field="0" count="1" selected="0">
            <x v="28"/>
          </reference>
          <reference field="1" count="1">
            <x v="57"/>
          </reference>
        </references>
      </pivotArea>
    </format>
    <format dxfId="627">
      <pivotArea dataOnly="0" labelOnly="1" outline="0" fieldPosition="0">
        <references count="2">
          <reference field="0" count="1" selected="0">
            <x v="29"/>
          </reference>
          <reference field="1" count="1">
            <x v="10"/>
          </reference>
        </references>
      </pivotArea>
    </format>
    <format dxfId="626">
      <pivotArea dataOnly="0" labelOnly="1" outline="0" fieldPosition="0">
        <references count="2">
          <reference field="0" count="1" selected="0">
            <x v="29"/>
          </reference>
          <reference field="1" count="1">
            <x v="26"/>
          </reference>
        </references>
      </pivotArea>
    </format>
    <format dxfId="625">
      <pivotArea dataOnly="0" labelOnly="1" outline="0" fieldPosition="0">
        <references count="2">
          <reference field="0" count="1" selected="0">
            <x v="29"/>
          </reference>
          <reference field="1" count="1">
            <x v="33"/>
          </reference>
        </references>
      </pivotArea>
    </format>
    <format dxfId="624">
      <pivotArea dataOnly="0" labelOnly="1" outline="0" fieldPosition="0">
        <references count="2">
          <reference field="0" count="1" selected="0">
            <x v="29"/>
          </reference>
          <reference field="1" count="1">
            <x v="34"/>
          </reference>
        </references>
      </pivotArea>
    </format>
    <format dxfId="623">
      <pivotArea dataOnly="0" labelOnly="1" outline="0" fieldPosition="0">
        <references count="2">
          <reference field="0" count="1" selected="0">
            <x v="30"/>
          </reference>
          <reference field="1" count="1">
            <x v="46"/>
          </reference>
        </references>
      </pivotArea>
    </format>
    <format dxfId="622">
      <pivotArea dataOnly="0" labelOnly="1" outline="0" fieldPosition="0">
        <references count="2">
          <reference field="0" count="1" selected="0">
            <x v="31"/>
          </reference>
          <reference field="1" count="1">
            <x v="45"/>
          </reference>
        </references>
      </pivotArea>
    </format>
    <format dxfId="621">
      <pivotArea dataOnly="0" labelOnly="1" outline="0" fieldPosition="0">
        <references count="2">
          <reference field="0" count="1" selected="0">
            <x v="31"/>
          </reference>
          <reference field="1" count="1">
            <x v="51"/>
          </reference>
        </references>
      </pivotArea>
    </format>
    <format dxfId="620">
      <pivotArea dataOnly="0" labelOnly="1" outline="0" fieldPosition="0">
        <references count="2">
          <reference field="0" count="1" selected="0">
            <x v="31"/>
          </reference>
          <reference field="1" count="1">
            <x v="56"/>
          </reference>
        </references>
      </pivotArea>
    </format>
    <format dxfId="619">
      <pivotArea dataOnly="0" labelOnly="1" outline="0" fieldPosition="0">
        <references count="2">
          <reference field="0" count="1" selected="0">
            <x v="32"/>
          </reference>
          <reference field="1" count="1">
            <x v="24"/>
          </reference>
        </references>
      </pivotArea>
    </format>
    <format dxfId="618">
      <pivotArea dataOnly="0" labelOnly="1" outline="0" fieldPosition="0">
        <references count="2">
          <reference field="0" count="1" selected="0">
            <x v="33"/>
          </reference>
          <reference field="1" count="1">
            <x v="1"/>
          </reference>
        </references>
      </pivotArea>
    </format>
    <format dxfId="617">
      <pivotArea dataOnly="0" labelOnly="1" outline="0" fieldPosition="0">
        <references count="2">
          <reference field="0" count="1" selected="0">
            <x v="34"/>
          </reference>
          <reference field="1" count="1">
            <x v="37"/>
          </reference>
        </references>
      </pivotArea>
    </format>
    <format dxfId="616">
      <pivotArea dataOnly="0" labelOnly="1" outline="0" fieldPosition="0">
        <references count="2">
          <reference field="0" count="1" selected="0">
            <x v="34"/>
          </reference>
          <reference field="1" count="1">
            <x v="54"/>
          </reference>
        </references>
      </pivotArea>
    </format>
    <format dxfId="615">
      <pivotArea dataOnly="0" labelOnly="1" outline="0" fieldPosition="0">
        <references count="2">
          <reference field="0" count="1" selected="0">
            <x v="34"/>
          </reference>
          <reference field="1" count="1">
            <x v="59"/>
          </reference>
        </references>
      </pivotArea>
    </format>
    <format dxfId="614">
      <pivotArea dataOnly="0" labelOnly="1" outline="0" fieldPosition="0">
        <references count="2">
          <reference field="0" count="1" selected="0">
            <x v="34"/>
          </reference>
          <reference field="1" count="1">
            <x v="64"/>
          </reference>
        </references>
      </pivotArea>
    </format>
    <format dxfId="613">
      <pivotArea dataOnly="0" labelOnly="1" outline="0" fieldPosition="0">
        <references count="2">
          <reference field="0" count="1" selected="0">
            <x v="35"/>
          </reference>
          <reference field="1" count="1">
            <x v="18"/>
          </reference>
        </references>
      </pivotArea>
    </format>
    <format dxfId="612">
      <pivotArea dataOnly="0" labelOnly="1" outline="0" fieldPosition="0">
        <references count="2">
          <reference field="0" count="1" selected="0">
            <x v="36"/>
          </reference>
          <reference field="1" count="1">
            <x v="0"/>
          </reference>
        </references>
      </pivotArea>
    </format>
    <format dxfId="611">
      <pivotArea dataOnly="0" labelOnly="1" outline="0" fieldPosition="0">
        <references count="2">
          <reference field="0" count="1" selected="0">
            <x v="37"/>
          </reference>
          <reference field="1" count="1">
            <x v="45"/>
          </reference>
        </references>
      </pivotArea>
    </format>
    <format dxfId="610">
      <pivotArea dataOnly="0" labelOnly="1" outline="0" fieldPosition="0">
        <references count="2">
          <reference field="0" count="1" selected="0">
            <x v="38"/>
          </reference>
          <reference field="1" count="1">
            <x v="13"/>
          </reference>
        </references>
      </pivotArea>
    </format>
    <format dxfId="609">
      <pivotArea dataOnly="0" labelOnly="1" outline="0" fieldPosition="0">
        <references count="2">
          <reference field="0" count="1" selected="0">
            <x v="39"/>
          </reference>
          <reference field="1" count="1">
            <x v="11"/>
          </reference>
        </references>
      </pivotArea>
    </format>
    <format dxfId="608">
      <pivotArea dataOnly="0" labelOnly="1" outline="0" fieldPosition="0">
        <references count="2">
          <reference field="0" count="1" selected="0">
            <x v="40"/>
          </reference>
          <reference field="1" count="1">
            <x v="36"/>
          </reference>
        </references>
      </pivotArea>
    </format>
    <format dxfId="607">
      <pivotArea dataOnly="0" labelOnly="1" outline="0" fieldPosition="0">
        <references count="2">
          <reference field="0" count="1" selected="0">
            <x v="41"/>
          </reference>
          <reference field="1" count="1">
            <x v="41"/>
          </reference>
        </references>
      </pivotArea>
    </format>
    <format dxfId="606">
      <pivotArea dataOnly="0" labelOnly="1" outline="0" fieldPosition="0">
        <references count="2">
          <reference field="0" count="1" selected="0">
            <x v="42"/>
          </reference>
          <reference field="1" count="1">
            <x v="20"/>
          </reference>
        </references>
      </pivotArea>
    </format>
    <format dxfId="605">
      <pivotArea dataOnly="0" labelOnly="1" outline="0" fieldPosition="0">
        <references count="2">
          <reference field="0" count="1" selected="0">
            <x v="42"/>
          </reference>
          <reference field="1" count="1">
            <x v="38"/>
          </reference>
        </references>
      </pivotArea>
    </format>
    <format dxfId="604">
      <pivotArea dataOnly="0" labelOnly="1" outline="0" fieldPosition="0">
        <references count="2">
          <reference field="0" count="1" selected="0">
            <x v="42"/>
          </reference>
          <reference field="1" count="1">
            <x v="40"/>
          </reference>
        </references>
      </pivotArea>
    </format>
    <format dxfId="603">
      <pivotArea dataOnly="0" labelOnly="1" outline="0" fieldPosition="0">
        <references count="2">
          <reference field="0" count="1" selected="0">
            <x v="42"/>
          </reference>
          <reference field="1" count="1">
            <x v="42"/>
          </reference>
        </references>
      </pivotArea>
    </format>
    <format dxfId="602">
      <pivotArea dataOnly="0" labelOnly="1" outline="0" fieldPosition="0">
        <references count="2">
          <reference field="0" count="1" selected="0">
            <x v="42"/>
          </reference>
          <reference field="1" count="1">
            <x v="50"/>
          </reference>
        </references>
      </pivotArea>
    </format>
    <format dxfId="601">
      <pivotArea dataOnly="0" labelOnly="1" outline="0" fieldPosition="0">
        <references count="2">
          <reference field="0" count="1" selected="0">
            <x v="43"/>
          </reference>
          <reference field="1" count="1">
            <x v="12"/>
          </reference>
        </references>
      </pivotArea>
    </format>
    <format dxfId="600">
      <pivotArea dataOnly="0" labelOnly="1" outline="0" fieldPosition="0">
        <references count="2">
          <reference field="0" count="1" selected="0">
            <x v="44"/>
          </reference>
          <reference field="1" count="1">
            <x v="45"/>
          </reference>
        </references>
      </pivotArea>
    </format>
    <format dxfId="599">
      <pivotArea dataOnly="0" labelOnly="1" outline="0" fieldPosition="0">
        <references count="2">
          <reference field="0" count="1" selected="0">
            <x v="44"/>
          </reference>
          <reference field="1" count="1">
            <x v="63"/>
          </reference>
        </references>
      </pivotArea>
    </format>
    <format dxfId="598">
      <pivotArea dataOnly="0" labelOnly="1" outline="0" fieldPosition="0">
        <references count="2">
          <reference field="0" count="1" selected="0">
            <x v="45"/>
          </reference>
          <reference field="1" count="1">
            <x v="34"/>
          </reference>
        </references>
      </pivotArea>
    </format>
    <format dxfId="597">
      <pivotArea dataOnly="0" labelOnly="1" outline="0" fieldPosition="0">
        <references count="2">
          <reference field="0" count="1" selected="0">
            <x v="46"/>
          </reference>
          <reference field="1" count="1">
            <x v="19"/>
          </reference>
        </references>
      </pivotArea>
    </format>
    <format dxfId="596">
      <pivotArea dataOnly="0" labelOnly="1" outline="0" fieldPosition="0">
        <references count="2">
          <reference field="0" count="1" selected="0">
            <x v="47"/>
          </reference>
          <reference field="1" count="1">
            <x v="1"/>
          </reference>
        </references>
      </pivotArea>
    </format>
    <format dxfId="595">
      <pivotArea dataOnly="0" labelOnly="1" outline="0" fieldPosition="0">
        <references count="2">
          <reference field="0" count="1" selected="0">
            <x v="48"/>
          </reference>
          <reference field="1" count="1">
            <x v="41"/>
          </reference>
        </references>
      </pivotArea>
    </format>
    <format dxfId="594">
      <pivotArea dataOnly="0" labelOnly="1" outline="0" fieldPosition="0">
        <references count="2">
          <reference field="0" count="1" selected="0">
            <x v="49"/>
          </reference>
          <reference field="1" count="1">
            <x v="2"/>
          </reference>
        </references>
      </pivotArea>
    </format>
    <format dxfId="593">
      <pivotArea dataOnly="0" labelOnly="1" outline="0" fieldPosition="0">
        <references count="2">
          <reference field="0" count="1" selected="0">
            <x v="50"/>
          </reference>
          <reference field="1" count="1">
            <x v="54"/>
          </reference>
        </references>
      </pivotArea>
    </format>
    <format dxfId="592">
      <pivotArea dataOnly="0" labelOnly="1" outline="0" fieldPosition="0">
        <references count="2">
          <reference field="0" count="1" selected="0">
            <x v="50"/>
          </reference>
          <reference field="1" count="1">
            <x v="67"/>
          </reference>
        </references>
      </pivotArea>
    </format>
    <format dxfId="591">
      <pivotArea dataOnly="0" labelOnly="1" outline="0" fieldPosition="0">
        <references count="2">
          <reference field="0" count="1" selected="0">
            <x v="51"/>
          </reference>
          <reference field="1" count="1">
            <x v="3"/>
          </reference>
        </references>
      </pivotArea>
    </format>
    <format dxfId="590">
      <pivotArea dataOnly="0" labelOnly="1" outline="0" fieldPosition="0">
        <references count="2">
          <reference field="0" count="1" selected="0">
            <x v="52"/>
          </reference>
          <reference field="1" count="1">
            <x v="3"/>
          </reference>
        </references>
      </pivotArea>
    </format>
    <format dxfId="589">
      <pivotArea dataOnly="0" labelOnly="1" outline="0" fieldPosition="0">
        <references count="2">
          <reference field="0" count="1" selected="0">
            <x v="53"/>
          </reference>
          <reference field="1" count="1">
            <x v="4"/>
          </reference>
        </references>
      </pivotArea>
    </format>
    <format dxfId="588">
      <pivotArea dataOnly="0" labelOnly="1" outline="0" fieldPosition="0">
        <references count="2">
          <reference field="0" count="1" selected="0">
            <x v="54"/>
          </reference>
          <reference field="1" count="1">
            <x v="39"/>
          </reference>
        </references>
      </pivotArea>
    </format>
    <format dxfId="587">
      <pivotArea dataOnly="0" labelOnly="1" outline="0" fieldPosition="0">
        <references count="2">
          <reference field="0" count="1" selected="0">
            <x v="55"/>
          </reference>
          <reference field="1" count="1">
            <x v="37"/>
          </reference>
        </references>
      </pivotArea>
    </format>
    <format dxfId="586">
      <pivotArea dataOnly="0" labelOnly="1" outline="0" fieldPosition="0">
        <references count="2">
          <reference field="0" count="1" selected="0">
            <x v="56"/>
          </reference>
          <reference field="1" count="1">
            <x v="29"/>
          </reference>
        </references>
      </pivotArea>
    </format>
    <format dxfId="585">
      <pivotArea dataOnly="0" labelOnly="1" outline="0" fieldPosition="0">
        <references count="2">
          <reference field="0" count="1" selected="0">
            <x v="56"/>
          </reference>
          <reference field="1" count="1">
            <x v="41"/>
          </reference>
        </references>
      </pivotArea>
    </format>
    <format dxfId="584">
      <pivotArea dataOnly="0" labelOnly="1" outline="0" fieldPosition="0">
        <references count="2">
          <reference field="0" count="1" selected="0">
            <x v="56"/>
          </reference>
          <reference field="1" count="1">
            <x v="49"/>
          </reference>
        </references>
      </pivotArea>
    </format>
    <format dxfId="583">
      <pivotArea dataOnly="0" labelOnly="1" outline="0" fieldPosition="0">
        <references count="2">
          <reference field="0" count="1" selected="0">
            <x v="57"/>
          </reference>
          <reference field="1" count="1">
            <x v="35"/>
          </reference>
        </references>
      </pivotArea>
    </format>
    <format dxfId="582">
      <pivotArea dataOnly="0" labelOnly="1" outline="0" fieldPosition="0">
        <references count="2">
          <reference field="0" count="1" selected="0">
            <x v="57"/>
          </reference>
          <reference field="1" count="1">
            <x v="45"/>
          </reference>
        </references>
      </pivotArea>
    </format>
    <format dxfId="581">
      <pivotArea dataOnly="0" labelOnly="1" outline="0" fieldPosition="0">
        <references count="2">
          <reference field="0" count="1" selected="0">
            <x v="57"/>
          </reference>
          <reference field="1" count="1">
            <x v="63"/>
          </reference>
        </references>
      </pivotArea>
    </format>
    <format dxfId="580">
      <pivotArea dataOnly="0" labelOnly="1" outline="0" fieldPosition="0">
        <references count="2">
          <reference field="0" count="1" selected="0">
            <x v="57"/>
          </reference>
          <reference field="1" count="1">
            <x v="70"/>
          </reference>
        </references>
      </pivotArea>
    </format>
    <format dxfId="579">
      <pivotArea dataOnly="0" labelOnly="1" outline="0" fieldPosition="0">
        <references count="2">
          <reference field="0" count="1" selected="0">
            <x v="58"/>
          </reference>
          <reference field="1" count="1">
            <x v="25"/>
          </reference>
        </references>
      </pivotArea>
    </format>
    <format dxfId="578">
      <pivotArea dataOnly="0" labelOnly="1" outline="0" fieldPosition="0">
        <references count="2">
          <reference field="0" count="1" selected="0">
            <x v="59"/>
          </reference>
          <reference field="1" count="1">
            <x v="14"/>
          </reference>
        </references>
      </pivotArea>
    </format>
    <format dxfId="577">
      <pivotArea dataOnly="0" labelOnly="1" outline="0" fieldPosition="0">
        <references count="2">
          <reference field="0" count="1" selected="0">
            <x v="60"/>
          </reference>
          <reference field="1" count="1">
            <x v="9"/>
          </reference>
        </references>
      </pivotArea>
    </format>
    <format dxfId="576">
      <pivotArea dataOnly="0" labelOnly="1" outline="0" fieldPosition="0">
        <references count="2">
          <reference field="0" count="1" selected="0">
            <x v="61"/>
          </reference>
          <reference field="1" count="1">
            <x v="21"/>
          </reference>
        </references>
      </pivotArea>
    </format>
    <format dxfId="575">
      <pivotArea dataOnly="0" labelOnly="1" outline="0" fieldPosition="0">
        <references count="2">
          <reference field="0" count="1" selected="0">
            <x v="62"/>
          </reference>
          <reference field="1" count="1">
            <x v="5"/>
          </reference>
        </references>
      </pivotArea>
    </format>
    <format dxfId="574">
      <pivotArea dataOnly="0" labelOnly="1" outline="0" fieldPosition="0">
        <references count="2">
          <reference field="0" count="1" selected="0">
            <x v="63"/>
          </reference>
          <reference field="1" count="1">
            <x v="5"/>
          </reference>
        </references>
      </pivotArea>
    </format>
    <format dxfId="573">
      <pivotArea dataOnly="0" labelOnly="1" outline="0" fieldPosition="0">
        <references count="2">
          <reference field="0" count="1" selected="0">
            <x v="63"/>
          </reference>
          <reference field="1" count="1">
            <x v="25"/>
          </reference>
        </references>
      </pivotArea>
    </format>
    <format dxfId="572">
      <pivotArea dataOnly="0" labelOnly="1" outline="0" fieldPosition="0">
        <references count="2">
          <reference field="0" count="1" selected="0">
            <x v="63"/>
          </reference>
          <reference field="1" count="1">
            <x v="37"/>
          </reference>
        </references>
      </pivotArea>
    </format>
    <format dxfId="571">
      <pivotArea dataOnly="0" labelOnly="1" outline="0" fieldPosition="0">
        <references count="2">
          <reference field="0" count="1" selected="0">
            <x v="64"/>
          </reference>
          <reference field="1" count="1">
            <x v="10"/>
          </reference>
        </references>
      </pivotArea>
    </format>
    <format dxfId="570">
      <pivotArea dataOnly="0" labelOnly="1" outline="0" fieldPosition="0">
        <references count="2">
          <reference field="0" count="1" selected="0">
            <x v="65"/>
          </reference>
          <reference field="1" count="1">
            <x v="26"/>
          </reference>
        </references>
      </pivotArea>
    </format>
    <format dxfId="569">
      <pivotArea dataOnly="0" labelOnly="1" outline="0" fieldPosition="0">
        <references count="2">
          <reference field="0" count="1" selected="0">
            <x v="65"/>
          </reference>
          <reference field="1" count="1">
            <x v="41"/>
          </reference>
        </references>
      </pivotArea>
    </format>
    <format dxfId="568">
      <pivotArea dataOnly="0" labelOnly="1" outline="0" fieldPosition="0">
        <references count="2">
          <reference field="0" count="1" selected="0">
            <x v="65"/>
          </reference>
          <reference field="1" count="1">
            <x v="48"/>
          </reference>
        </references>
      </pivotArea>
    </format>
    <format dxfId="567">
      <pivotArea dataOnly="0" labelOnly="1" outline="0" fieldPosition="0">
        <references count="2">
          <reference field="0" count="1" selected="0">
            <x v="66"/>
          </reference>
          <reference field="1" count="1">
            <x v="35"/>
          </reference>
        </references>
      </pivotArea>
    </format>
    <format dxfId="566">
      <pivotArea dataOnly="0" labelOnly="1" outline="0" fieldPosition="0">
        <references count="2">
          <reference field="0" count="1" selected="0">
            <x v="67"/>
          </reference>
          <reference field="1" count="1">
            <x v="35"/>
          </reference>
        </references>
      </pivotArea>
    </format>
    <format dxfId="565">
      <pivotArea dataOnly="0" labelOnly="1" outline="0" fieldPosition="0">
        <references count="2">
          <reference field="0" count="1" selected="0">
            <x v="68"/>
          </reference>
          <reference field="1" count="1">
            <x v="22"/>
          </reference>
        </references>
      </pivotArea>
    </format>
    <format dxfId="564">
      <pivotArea dataOnly="0" labelOnly="1" outline="0" fieldPosition="0">
        <references count="2">
          <reference field="0" count="1" selected="0">
            <x v="69"/>
          </reference>
          <reference field="1" count="1">
            <x v="44"/>
          </reference>
        </references>
      </pivotArea>
    </format>
    <format dxfId="563">
      <pivotArea dataOnly="0" labelOnly="1" outline="0" fieldPosition="0">
        <references count="2">
          <reference field="0" count="1" selected="0">
            <x v="70"/>
          </reference>
          <reference field="1" count="1">
            <x v="44"/>
          </reference>
        </references>
      </pivotArea>
    </format>
    <format dxfId="562">
      <pivotArea dataOnly="0" labelOnly="1" outline="0" fieldPosition="0">
        <references count="2">
          <reference field="0" count="1" selected="0">
            <x v="71"/>
          </reference>
          <reference field="1" count="1">
            <x v="43"/>
          </reference>
        </references>
      </pivotArea>
    </format>
    <format dxfId="561">
      <pivotArea dataOnly="0" labelOnly="1" outline="0" fieldPosition="0">
        <references count="2">
          <reference field="0" count="1" selected="0">
            <x v="71"/>
          </reference>
          <reference field="1" count="1">
            <x v="53"/>
          </reference>
        </references>
      </pivotArea>
    </format>
    <format dxfId="560">
      <pivotArea dataOnly="0" labelOnly="1" outline="0" fieldPosition="0">
        <references count="2">
          <reference field="0" count="1" selected="0">
            <x v="71"/>
          </reference>
          <reference field="1" count="1">
            <x v="62"/>
          </reference>
        </references>
      </pivotArea>
    </format>
    <format dxfId="559">
      <pivotArea dataOnly="0" labelOnly="1" outline="0" fieldPosition="0">
        <references count="2">
          <reference field="0" count="1" selected="0">
            <x v="71"/>
          </reference>
          <reference field="1" count="1">
            <x v="68"/>
          </reference>
        </references>
      </pivotArea>
    </format>
    <format dxfId="558">
      <pivotArea dataOnly="0" labelOnly="1" outline="0" fieldPosition="0">
        <references count="2">
          <reference field="0" count="1" selected="0">
            <x v="71"/>
          </reference>
          <reference field="1" count="1">
            <x v="72"/>
          </reference>
        </references>
      </pivotArea>
    </format>
    <format dxfId="557">
      <pivotArea dataOnly="0" labelOnly="1" outline="0" fieldPosition="0">
        <references count="2">
          <reference field="0" count="1" selected="0">
            <x v="72"/>
          </reference>
          <reference field="1" count="1">
            <x v="31"/>
          </reference>
        </references>
      </pivotArea>
    </format>
    <format dxfId="556">
      <pivotArea dataOnly="0" labelOnly="1" outline="0" fieldPosition="0">
        <references count="2">
          <reference field="0" count="1" selected="0">
            <x v="73"/>
          </reference>
          <reference field="1" count="1">
            <x v="23"/>
          </reference>
        </references>
      </pivotArea>
    </format>
    <format dxfId="555">
      <pivotArea dataOnly="0" labelOnly="1" outline="0" fieldPosition="0">
        <references count="6">
          <reference field="0" count="1" selected="0">
            <x v="0"/>
          </reference>
          <reference field="1" count="1" selected="0">
            <x v="37"/>
          </reference>
          <reference field="3" count="1" selected="0">
            <x v="57"/>
          </reference>
          <reference field="5" count="1">
            <x v="4"/>
          </reference>
          <reference field="16" count="1" selected="0">
            <x v="1"/>
          </reference>
          <reference field="18" count="1" selected="0">
            <x v="0"/>
          </reference>
        </references>
      </pivotArea>
    </format>
    <format dxfId="554">
      <pivotArea dataOnly="0" labelOnly="1" outline="0" fieldPosition="0">
        <references count="6">
          <reference field="0" count="1" selected="0">
            <x v="0"/>
          </reference>
          <reference field="1" count="1" selected="0">
            <x v="54"/>
          </reference>
          <reference field="3" count="1" selected="0">
            <x v="79"/>
          </reference>
          <reference field="5" count="1">
            <x v="0"/>
          </reference>
          <reference field="16" count="1" selected="0">
            <x v="1"/>
          </reference>
          <reference field="18" count="1" selected="0">
            <x v="4"/>
          </reference>
        </references>
      </pivotArea>
    </format>
    <format dxfId="553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6"/>
          </reference>
          <reference field="3" count="1" selected="0">
            <x v="2"/>
          </reference>
          <reference field="5" count="1">
            <x v="4"/>
          </reference>
          <reference field="16" count="1" selected="0">
            <x v="1"/>
          </reference>
          <reference field="18" count="1" selected="0">
            <x v="0"/>
          </reference>
        </references>
      </pivotArea>
    </format>
    <format dxfId="552">
      <pivotArea dataOnly="0" labelOnly="1" outline="0" fieldPosition="0">
        <references count="6">
          <reference field="0" count="1" selected="0">
            <x v="2"/>
          </reference>
          <reference field="1" count="1" selected="0">
            <x v="5"/>
          </reference>
          <reference field="3" count="1" selected="0">
            <x v="15"/>
          </reference>
          <reference field="5" count="1">
            <x v="4"/>
          </reference>
          <reference field="16" count="1" selected="0">
            <x v="1"/>
          </reference>
          <reference field="18" count="1" selected="0">
            <x v="0"/>
          </reference>
        </references>
      </pivotArea>
    </format>
    <format dxfId="551">
      <pivotArea dataOnly="0" labelOnly="1" outline="0" fieldPosition="0">
        <references count="6">
          <reference field="0" count="1" selected="0">
            <x v="3"/>
          </reference>
          <reference field="1" count="1" selected="0">
            <x v="17"/>
          </reference>
          <reference field="3" count="1" selected="0">
            <x v="31"/>
          </reference>
          <reference field="5" count="1">
            <x v="4"/>
          </reference>
          <reference field="16" count="1" selected="0">
            <x v="1"/>
          </reference>
          <reference field="18" count="1" selected="0">
            <x v="0"/>
          </reference>
        </references>
      </pivotArea>
    </format>
    <format dxfId="550">
      <pivotArea dataOnly="0" labelOnly="1" outline="0" fieldPosition="0">
        <references count="6">
          <reference field="0" count="1" selected="0">
            <x v="4"/>
          </reference>
          <reference field="1" count="1" selected="0">
            <x v="1"/>
          </reference>
          <reference field="3" count="1" selected="0">
            <x v="32"/>
          </reference>
          <reference field="5" count="1">
            <x v="4"/>
          </reference>
          <reference field="16" count="1" selected="0">
            <x v="1"/>
          </reference>
          <reference field="18" count="1" selected="0">
            <x v="0"/>
          </reference>
        </references>
      </pivotArea>
    </format>
    <format dxfId="549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40"/>
          </reference>
          <reference field="3" count="1" selected="0">
            <x v="19"/>
          </reference>
          <reference field="5" count="1">
            <x v="4"/>
          </reference>
          <reference field="16" count="1" selected="0">
            <x v="1"/>
          </reference>
          <reference field="18" count="1" selected="0">
            <x v="0"/>
          </reference>
        </references>
      </pivotArea>
    </format>
    <format dxfId="548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8"/>
          </reference>
          <reference field="3" count="1" selected="0">
            <x v="28"/>
          </reference>
          <reference field="5" count="1">
            <x v="4"/>
          </reference>
          <reference field="16" count="1" selected="0">
            <x v="1"/>
          </reference>
          <reference field="18" count="1" selected="0">
            <x v="0"/>
          </reference>
        </references>
      </pivotArea>
    </format>
    <format dxfId="547">
      <pivotArea dataOnly="0" labelOnly="1" outline="0" fieldPosition="0">
        <references count="6">
          <reference field="0" count="1" selected="0">
            <x v="7"/>
          </reference>
          <reference field="1" count="1" selected="0">
            <x v="37"/>
          </reference>
          <reference field="3" count="1" selected="0">
            <x v="52"/>
          </reference>
          <reference field="5" count="1">
            <x v="4"/>
          </reference>
          <reference field="16" count="1" selected="0">
            <x v="1"/>
          </reference>
          <reference field="18" count="1" selected="0">
            <x v="0"/>
          </reference>
        </references>
      </pivotArea>
    </format>
    <format dxfId="546">
      <pivotArea dataOnly="0" labelOnly="1" outline="0" fieldPosition="0">
        <references count="6">
          <reference field="0" count="1" selected="0">
            <x v="7"/>
          </reference>
          <reference field="1" count="1" selected="0">
            <x v="55"/>
          </reference>
          <reference field="3" count="1" selected="0">
            <x v="75"/>
          </reference>
          <reference field="5" count="1">
            <x v="0"/>
          </reference>
          <reference field="16" count="1" selected="0">
            <x v="1"/>
          </reference>
          <reference field="18" count="1" selected="0">
            <x v="4"/>
          </reference>
        </references>
      </pivotArea>
    </format>
    <format dxfId="545">
      <pivotArea dataOnly="0" labelOnly="1" outline="0" fieldPosition="0">
        <references count="6">
          <reference field="0" count="1" selected="0">
            <x v="7"/>
          </reference>
          <reference field="1" count="1" selected="0">
            <x v="60"/>
          </reference>
          <reference field="3" count="1" selected="0">
            <x v="85"/>
          </reference>
          <reference field="5" count="1">
            <x v="1"/>
          </reference>
          <reference field="16" count="1" selected="0">
            <x v="0"/>
          </reference>
          <reference field="18" count="1" selected="0">
            <x v="4"/>
          </reference>
        </references>
      </pivotArea>
    </format>
    <format dxfId="544">
      <pivotArea dataOnly="0" labelOnly="1" outline="0" fieldPosition="0">
        <references count="6">
          <reference field="0" count="1" selected="0">
            <x v="7"/>
          </reference>
          <reference field="1" count="1" selected="0">
            <x v="65"/>
          </reference>
          <reference field="3" count="1" selected="0">
            <x v="94"/>
          </reference>
          <reference field="5" count="1">
            <x v="3"/>
          </reference>
          <reference field="16" count="1" selected="0">
            <x v="0"/>
          </reference>
          <reference field="18" count="1" selected="0">
            <x v="4"/>
          </reference>
        </references>
      </pivotArea>
    </format>
    <format dxfId="543">
      <pivotArea dataOnly="0" labelOnly="1" outline="0" fieldPosition="0">
        <references count="6">
          <reference field="0" count="1" selected="0">
            <x v="8"/>
          </reference>
          <reference field="1" count="1" selected="0">
            <x v="27"/>
          </reference>
          <reference field="3" count="1" selected="0">
            <x v="29"/>
          </reference>
          <reference field="5" count="1">
            <x v="4"/>
          </reference>
          <reference field="16" count="1" selected="0">
            <x v="1"/>
          </reference>
          <reference field="18" count="1" selected="0">
            <x v="0"/>
          </reference>
        </references>
      </pivotArea>
    </format>
    <format dxfId="542">
      <pivotArea dataOnly="0" labelOnly="1" outline="0" fieldPosition="0">
        <references count="6">
          <reference field="0" count="1" selected="0">
            <x v="9"/>
          </reference>
          <reference field="1" count="1" selected="0">
            <x v="3"/>
          </reference>
          <reference field="3" count="1" selected="0">
            <x v="22"/>
          </reference>
          <reference field="5" count="1">
            <x v="4"/>
          </reference>
          <reference field="16" count="1" selected="0">
            <x v="1"/>
          </reference>
          <reference field="18" count="1" selected="0">
            <x v="0"/>
          </reference>
        </references>
      </pivotArea>
    </format>
    <format dxfId="541">
      <pivotArea dataOnly="0" labelOnly="1" outline="0" fieldPosition="0">
        <references count="6">
          <reference field="0" count="1" selected="0">
            <x v="10"/>
          </reference>
          <reference field="1" count="1" selected="0">
            <x v="38"/>
          </reference>
          <reference field="3" count="1" selected="0">
            <x v="41"/>
          </reference>
          <reference field="5" count="1">
            <x v="4"/>
          </reference>
          <reference field="16" count="1" selected="0">
            <x v="1"/>
          </reference>
          <reference field="18" count="1" selected="0">
            <x v="0"/>
          </reference>
        </references>
      </pivotArea>
    </format>
    <format dxfId="540">
      <pivotArea dataOnly="0" labelOnly="1" outline="0" fieldPosition="0">
        <references count="6">
          <reference field="0" count="1" selected="0">
            <x v="11"/>
          </reference>
          <reference field="1" count="1" selected="0">
            <x v="23"/>
          </reference>
          <reference field="3" count="1" selected="0">
            <x v="18"/>
          </reference>
          <reference field="5" count="1">
            <x v="4"/>
          </reference>
          <reference field="16" count="1" selected="0">
            <x v="1"/>
          </reference>
          <reference field="18" count="1" selected="0">
            <x v="0"/>
          </reference>
        </references>
      </pivotArea>
    </format>
    <format dxfId="539">
      <pivotArea dataOnly="0" labelOnly="1" outline="0" fieldPosition="0">
        <references count="6">
          <reference field="0" count="1" selected="0">
            <x v="12"/>
          </reference>
          <reference field="1" count="1" selected="0">
            <x v="47"/>
          </reference>
          <reference field="3" count="1" selected="0">
            <x v="11"/>
          </reference>
          <reference field="5" count="1">
            <x v="4"/>
          </reference>
          <reference field="16" count="1" selected="0">
            <x v="1"/>
          </reference>
          <reference field="18" count="1" selected="0">
            <x v="0"/>
          </reference>
        </references>
      </pivotArea>
    </format>
    <format dxfId="538">
      <pivotArea dataOnly="0" labelOnly="1" outline="0" fieldPosition="0">
        <references count="6">
          <reference field="0" count="1" selected="0">
            <x v="12"/>
          </reference>
          <reference field="1" count="1" selected="0">
            <x v="52"/>
          </reference>
          <reference field="3" count="1" selected="0">
            <x v="48"/>
          </reference>
          <reference field="5" count="1">
            <x v="4"/>
          </reference>
          <reference field="16" count="1" selected="0">
            <x v="1"/>
          </reference>
          <reference field="18" count="1" selected="0">
            <x v="0"/>
          </reference>
        </references>
      </pivotArea>
    </format>
    <format dxfId="537">
      <pivotArea dataOnly="0" labelOnly="1" outline="0" fieldPosition="0">
        <references count="6">
          <reference field="0" count="1" selected="0">
            <x v="12"/>
          </reference>
          <reference field="1" count="1" selected="0">
            <x v="58"/>
          </reference>
          <reference field="3" count="1" selected="0">
            <x v="59"/>
          </reference>
          <reference field="5" count="1">
            <x v="0"/>
          </reference>
          <reference field="16" count="1" selected="0">
            <x v="1"/>
          </reference>
          <reference field="18" count="1" selected="0">
            <x v="2"/>
          </reference>
        </references>
      </pivotArea>
    </format>
    <format dxfId="536">
      <pivotArea dataOnly="0" labelOnly="1" outline="0" fieldPosition="0">
        <references count="6">
          <reference field="0" count="1" selected="0">
            <x v="12"/>
          </reference>
          <reference field="1" count="1" selected="0">
            <x v="67"/>
          </reference>
          <reference field="3" count="1" selected="0">
            <x v="82"/>
          </reference>
          <reference field="5" count="1">
            <x v="3"/>
          </reference>
          <reference field="16" count="1" selected="0">
            <x v="0"/>
          </reference>
          <reference field="18" count="1" selected="0">
            <x v="2"/>
          </reference>
        </references>
      </pivotArea>
    </format>
    <format dxfId="535">
      <pivotArea dataOnly="0" labelOnly="1" outline="0" fieldPosition="0">
        <references count="6">
          <reference field="0" count="1" selected="0">
            <x v="12"/>
          </reference>
          <reference field="1" count="1" selected="0">
            <x v="69"/>
          </reference>
          <reference field="3" count="1" selected="0">
            <x v="73"/>
          </reference>
          <reference field="5" count="1">
            <x v="0"/>
          </reference>
          <reference field="16" count="1" selected="0">
            <x v="1"/>
          </reference>
          <reference field="18" count="1" selected="0">
            <x v="4"/>
          </reference>
        </references>
      </pivotArea>
    </format>
    <format dxfId="534">
      <pivotArea dataOnly="0" labelOnly="1" outline="0" fieldPosition="0">
        <references count="6">
          <reference field="0" count="1" selected="0">
            <x v="12"/>
          </reference>
          <reference field="1" count="1" selected="0">
            <x v="73"/>
          </reference>
          <reference field="3" count="1" selected="0">
            <x v="92"/>
          </reference>
          <reference field="5" count="1">
            <x v="3"/>
          </reference>
          <reference field="16" count="1" selected="0">
            <x v="0"/>
          </reference>
          <reference field="18" count="1" selected="0">
            <x v="4"/>
          </reference>
        </references>
      </pivotArea>
    </format>
    <format dxfId="533">
      <pivotArea dataOnly="0" labelOnly="1" outline="0" fieldPosition="0">
        <references count="6">
          <reference field="0" count="1" selected="0">
            <x v="13"/>
          </reference>
          <reference field="1" count="1" selected="0">
            <x v="49"/>
          </reference>
          <reference field="3" count="1" selected="0">
            <x v="5"/>
          </reference>
          <reference field="5" count="1">
            <x v="4"/>
          </reference>
          <reference field="16" count="1" selected="0">
            <x v="1"/>
          </reference>
          <reference field="18" count="1" selected="0">
            <x v="0"/>
          </reference>
        </references>
      </pivotArea>
    </format>
    <format dxfId="532">
      <pivotArea dataOnly="0" labelOnly="1" outline="0" fieldPosition="0">
        <references count="6">
          <reference field="0" count="1" selected="0">
            <x v="14"/>
          </reference>
          <reference field="1" count="1" selected="0">
            <x v="2"/>
          </reference>
          <reference field="3" count="1" selected="0">
            <x v="57"/>
          </reference>
          <reference field="5" count="1">
            <x v="4"/>
          </reference>
          <reference field="16" count="1" selected="0">
            <x v="1"/>
          </reference>
          <reference field="18" count="1" selected="0">
            <x v="0"/>
          </reference>
        </references>
      </pivotArea>
    </format>
    <format dxfId="531">
      <pivotArea dataOnly="0" labelOnly="1" outline="0" fieldPosition="0">
        <references count="6">
          <reference field="0" count="1" selected="0">
            <x v="15"/>
          </reference>
          <reference field="1" count="1" selected="0">
            <x v="3"/>
          </reference>
          <reference field="3" count="1" selected="0">
            <x v="26"/>
          </reference>
          <reference field="5" count="1">
            <x v="4"/>
          </reference>
          <reference field="16" count="1" selected="0">
            <x v="1"/>
          </reference>
          <reference field="18" count="1" selected="0">
            <x v="0"/>
          </reference>
        </references>
      </pivotArea>
    </format>
    <format dxfId="530">
      <pivotArea dataOnly="0" labelOnly="1" outline="0" fieldPosition="0">
        <references count="6">
          <reference field="0" count="1" selected="0">
            <x v="16"/>
          </reference>
          <reference field="1" count="1" selected="0">
            <x v="16"/>
          </reference>
          <reference field="3" count="1" selected="0">
            <x v="34"/>
          </reference>
          <reference field="5" count="1">
            <x v="4"/>
          </reference>
          <reference field="16" count="1" selected="0">
            <x v="1"/>
          </reference>
          <reference field="18" count="1" selected="0">
            <x v="0"/>
          </reference>
        </references>
      </pivotArea>
    </format>
    <format dxfId="529">
      <pivotArea dataOnly="0" labelOnly="1" outline="0" fieldPosition="0">
        <references count="6">
          <reference field="0" count="1" selected="0">
            <x v="16"/>
          </reference>
          <reference field="1" count="1" selected="0">
            <x v="45"/>
          </reference>
          <reference field="3" count="1" selected="0">
            <x v="80"/>
          </reference>
          <reference field="5" count="1">
            <x v="0"/>
          </reference>
          <reference field="16" count="1" selected="0">
            <x v="1"/>
          </reference>
          <reference field="18" count="1" selected="0">
            <x v="5"/>
          </reference>
        </references>
      </pivotArea>
    </format>
    <format dxfId="528">
      <pivotArea dataOnly="0" labelOnly="1" outline="0" fieldPosition="0">
        <references count="6">
          <reference field="0" count="1" selected="0">
            <x v="16"/>
          </reference>
          <reference field="1" count="1" selected="0">
            <x v="52"/>
          </reference>
          <reference field="3" count="1" selected="0">
            <x v="96"/>
          </reference>
          <reference field="5" count="1">
            <x v="3"/>
          </reference>
          <reference field="16" count="1" selected="0">
            <x v="0"/>
          </reference>
          <reference field="18" count="1" selected="0">
            <x v="5"/>
          </reference>
        </references>
      </pivotArea>
    </format>
    <format dxfId="527">
      <pivotArea dataOnly="0" labelOnly="1" outline="0" fieldPosition="0">
        <references count="6">
          <reference field="0" count="1" selected="0">
            <x v="17"/>
          </reference>
          <reference field="1" count="1" selected="0">
            <x v="42"/>
          </reference>
          <reference field="3" count="1" selected="0">
            <x v="54"/>
          </reference>
          <reference field="5" count="1">
            <x v="4"/>
          </reference>
          <reference field="16" count="1" selected="0">
            <x v="1"/>
          </reference>
          <reference field="18" count="1" selected="0">
            <x v="0"/>
          </reference>
        </references>
      </pivotArea>
    </format>
    <format dxfId="526">
      <pivotArea dataOnly="0" labelOnly="1" outline="0" fieldPosition="0">
        <references count="6">
          <reference field="0" count="1" selected="0">
            <x v="17"/>
          </reference>
          <reference field="1" count="1" selected="0">
            <x v="61"/>
          </reference>
          <reference field="3" count="1" selected="0">
            <x v="77"/>
          </reference>
          <reference field="5" count="1">
            <x v="0"/>
          </reference>
          <reference field="16" count="1" selected="0">
            <x v="1"/>
          </reference>
          <reference field="18" count="1" selected="0">
            <x v="4"/>
          </reference>
        </references>
      </pivotArea>
    </format>
    <format dxfId="525">
      <pivotArea dataOnly="0" labelOnly="1" outline="0" fieldPosition="0">
        <references count="6">
          <reference field="0" count="1" selected="0">
            <x v="17"/>
          </reference>
          <reference field="1" count="1" selected="0">
            <x v="66"/>
          </reference>
          <reference field="3" count="1" selected="0">
            <x v="86"/>
          </reference>
          <reference field="5" count="1">
            <x v="1"/>
          </reference>
          <reference field="16" count="1" selected="0">
            <x v="0"/>
          </reference>
          <reference field="18" count="1" selected="0">
            <x v="4"/>
          </reference>
        </references>
      </pivotArea>
    </format>
    <format dxfId="524">
      <pivotArea dataOnly="0" labelOnly="1" outline="0" fieldPosition="0">
        <references count="6">
          <reference field="0" count="1" selected="0">
            <x v="17"/>
          </reference>
          <reference field="1" count="1" selected="0">
            <x v="71"/>
          </reference>
          <reference field="3" count="1" selected="0">
            <x v="95"/>
          </reference>
          <reference field="5" count="1">
            <x v="3"/>
          </reference>
          <reference field="16" count="1" selected="0">
            <x v="0"/>
          </reference>
          <reference field="18" count="1" selected="0">
            <x v="4"/>
          </reference>
        </references>
      </pivotArea>
    </format>
    <format dxfId="523">
      <pivotArea dataOnly="0" labelOnly="1" outline="0" fieldPosition="0">
        <references count="6">
          <reference field="0" count="1" selected="0">
            <x v="18"/>
          </reference>
          <reference field="1" count="1" selected="0">
            <x v="28"/>
          </reference>
          <reference field="3" count="1" selected="0">
            <x v="3"/>
          </reference>
          <reference field="5" count="1">
            <x v="4"/>
          </reference>
          <reference field="16" count="1" selected="0">
            <x v="1"/>
          </reference>
          <reference field="18" count="1" selected="0">
            <x v="0"/>
          </reference>
        </references>
      </pivotArea>
    </format>
    <format dxfId="522">
      <pivotArea dataOnly="0" labelOnly="1" outline="0" fieldPosition="0">
        <references count="6">
          <reference field="0" count="1" selected="0">
            <x v="19"/>
          </reference>
          <reference field="1" count="1" selected="0">
            <x v="30"/>
          </reference>
          <reference field="3" count="1" selected="0">
            <x v="38"/>
          </reference>
          <reference field="5" count="1">
            <x v="4"/>
          </reference>
          <reference field="16" count="1" selected="0">
            <x v="1"/>
          </reference>
          <reference field="18" count="1" selected="0">
            <x v="0"/>
          </reference>
        </references>
      </pivotArea>
    </format>
    <format dxfId="521">
      <pivotArea dataOnly="0" labelOnly="1" outline="0" fieldPosition="0">
        <references count="6">
          <reference field="0" count="1" selected="0">
            <x v="20"/>
          </reference>
          <reference field="1" count="1" selected="0">
            <x v="11"/>
          </reference>
          <reference field="3" count="1" selected="0">
            <x v="28"/>
          </reference>
          <reference field="5" count="1">
            <x v="4"/>
          </reference>
          <reference field="16" count="1" selected="0">
            <x v="1"/>
          </reference>
          <reference field="18" count="1" selected="0">
            <x v="0"/>
          </reference>
        </references>
      </pivotArea>
    </format>
    <format dxfId="520">
      <pivotArea dataOnly="0" labelOnly="1" outline="0" fieldPosition="0">
        <references count="6">
          <reference field="0" count="1" selected="0">
            <x v="21"/>
          </reference>
          <reference field="1" count="1" selected="0">
            <x v="7"/>
          </reference>
          <reference field="3" count="1" selected="0">
            <x v="7"/>
          </reference>
          <reference field="5" count="1">
            <x v="4"/>
          </reference>
          <reference field="16" count="1" selected="0">
            <x v="1"/>
          </reference>
          <reference field="18" count="1" selected="0">
            <x v="0"/>
          </reference>
        </references>
      </pivotArea>
    </format>
    <format dxfId="519">
      <pivotArea dataOnly="0" labelOnly="1" outline="0" fieldPosition="0">
        <references count="6">
          <reference field="0" count="1" selected="0">
            <x v="22"/>
          </reference>
          <reference field="1" count="1" selected="0">
            <x v="5"/>
          </reference>
          <reference field="3" count="1" selected="0">
            <x v="9"/>
          </reference>
          <reference field="5" count="1">
            <x v="4"/>
          </reference>
          <reference field="16" count="1" selected="0">
            <x v="1"/>
          </reference>
          <reference field="18" count="1" selected="0">
            <x v="0"/>
          </reference>
        </references>
      </pivotArea>
    </format>
    <format dxfId="518">
      <pivotArea dataOnly="0" labelOnly="1" outline="0" fieldPosition="0">
        <references count="6">
          <reference field="0" count="1" selected="0">
            <x v="23"/>
          </reference>
          <reference field="1" count="1" selected="0">
            <x v="19"/>
          </reference>
          <reference field="3" count="1" selected="0">
            <x v="16"/>
          </reference>
          <reference field="5" count="1">
            <x v="4"/>
          </reference>
          <reference field="16" count="1" selected="0">
            <x v="1"/>
          </reference>
          <reference field="18" count="1" selected="0">
            <x v="0"/>
          </reference>
        </references>
      </pivotArea>
    </format>
    <format dxfId="517">
      <pivotArea dataOnly="0" labelOnly="1" outline="0" fieldPosition="0">
        <references count="6">
          <reference field="0" count="1" selected="0">
            <x v="23"/>
          </reference>
          <reference field="1" count="1" selected="0">
            <x v="34"/>
          </reference>
          <reference field="3" count="1" selected="0">
            <x v="58"/>
          </reference>
          <reference field="5" count="1">
            <x v="0"/>
          </reference>
          <reference field="16" count="1" selected="0">
            <x v="1"/>
          </reference>
          <reference field="18" count="1" selected="0">
            <x v="2"/>
          </reference>
        </references>
      </pivotArea>
    </format>
    <format dxfId="516">
      <pivotArea dataOnly="0" labelOnly="1" outline="0" fieldPosition="0">
        <references count="6">
          <reference field="0" count="1" selected="0">
            <x v="24"/>
          </reference>
          <reference field="1" count="1" selected="0">
            <x v="60"/>
          </reference>
          <reference field="3" count="1" selected="0">
            <x v="37"/>
          </reference>
          <reference field="5" count="1">
            <x v="4"/>
          </reference>
          <reference field="16" count="1" selected="0">
            <x v="0"/>
          </reference>
          <reference field="18" count="1" selected="0">
            <x v="0"/>
          </reference>
        </references>
      </pivotArea>
    </format>
    <format dxfId="515">
      <pivotArea dataOnly="0" labelOnly="1" outline="0" fieldPosition="0">
        <references count="6">
          <reference field="0" count="1" selected="0">
            <x v="24"/>
          </reference>
          <reference field="1" count="1" selected="0">
            <x v="67"/>
          </reference>
          <reference field="3" count="1" selected="0">
            <x v="37"/>
          </reference>
          <reference field="5" count="1">
            <x v="4"/>
          </reference>
          <reference field="16" count="1" selected="0">
            <x v="1"/>
          </reference>
          <reference field="18" count="1" selected="0">
            <x v="0"/>
          </reference>
        </references>
      </pivotArea>
    </format>
    <format dxfId="514">
      <pivotArea dataOnly="0" labelOnly="1" outline="0" fieldPosition="0">
        <references count="6">
          <reference field="0" count="1" selected="0">
            <x v="24"/>
          </reference>
          <reference field="1" count="1" selected="0">
            <x v="74"/>
          </reference>
          <reference field="3" count="1" selected="0">
            <x v="70"/>
          </reference>
          <reference field="5" count="1">
            <x v="0"/>
          </reference>
          <reference field="16" count="1" selected="0">
            <x v="1"/>
          </reference>
          <reference field="18" count="1" selected="0">
            <x v="4"/>
          </reference>
        </references>
      </pivotArea>
    </format>
    <format dxfId="513">
      <pivotArea dataOnly="0" labelOnly="1" outline="0" fieldPosition="0">
        <references count="6">
          <reference field="0" count="1" selected="0">
            <x v="24"/>
          </reference>
          <reference field="1" count="1" selected="0">
            <x v="75"/>
          </reference>
          <reference field="3" count="1" selected="0">
            <x v="83"/>
          </reference>
          <reference field="5" count="1">
            <x v="1"/>
          </reference>
          <reference field="16" count="1" selected="0">
            <x v="0"/>
          </reference>
          <reference field="18" count="1" selected="0">
            <x v="4"/>
          </reference>
        </references>
      </pivotArea>
    </format>
    <format dxfId="512">
      <pivotArea dataOnly="0" labelOnly="1" outline="0" fieldPosition="0">
        <references count="6">
          <reference field="0" count="1" selected="0">
            <x v="24"/>
          </reference>
          <reference field="1" count="1" selected="0">
            <x v="76"/>
          </reference>
          <reference field="3" count="1" selected="0">
            <x v="90"/>
          </reference>
          <reference field="5" count="1">
            <x v="3"/>
          </reference>
          <reference field="16" count="1" selected="0">
            <x v="0"/>
          </reference>
          <reference field="18" count="1" selected="0">
            <x v="4"/>
          </reference>
        </references>
      </pivotArea>
    </format>
    <format dxfId="511">
      <pivotArea dataOnly="0" labelOnly="1" outline="0" fieldPosition="0">
        <references count="6">
          <reference field="0" count="1" selected="0">
            <x v="25"/>
          </reference>
          <reference field="1" count="1" selected="0">
            <x v="57"/>
          </reference>
          <reference field="3" count="1" selected="0">
            <x v="43"/>
          </reference>
          <reference field="5" count="1">
            <x v="4"/>
          </reference>
          <reference field="16" count="1" selected="0">
            <x v="1"/>
          </reference>
          <reference field="18" count="1" selected="0">
            <x v="0"/>
          </reference>
        </references>
      </pivotArea>
    </format>
    <format dxfId="510">
      <pivotArea dataOnly="0" labelOnly="1" outline="0" fieldPosition="0">
        <references count="6">
          <reference field="0" count="1" selected="0">
            <x v="26"/>
          </reference>
          <reference field="1" count="1" selected="0">
            <x v="32"/>
          </reference>
          <reference field="3" count="1" selected="0">
            <x v="14"/>
          </reference>
          <reference field="5" count="1">
            <x v="4"/>
          </reference>
          <reference field="16" count="1" selected="0">
            <x v="1"/>
          </reference>
          <reference field="18" count="1" selected="0">
            <x v="0"/>
          </reference>
        </references>
      </pivotArea>
    </format>
    <format dxfId="509">
      <pivotArea dataOnly="0" labelOnly="1" outline="0" fieldPosition="0">
        <references count="6">
          <reference field="0" count="1" selected="0">
            <x v="27"/>
          </reference>
          <reference field="1" count="1" selected="0">
            <x v="15"/>
          </reference>
          <reference field="3" count="1" selected="0">
            <x v="0"/>
          </reference>
          <reference field="5" count="1">
            <x v="4"/>
          </reference>
          <reference field="16" count="1" selected="0">
            <x v="1"/>
          </reference>
          <reference field="18" count="1" selected="0">
            <x v="0"/>
          </reference>
        </references>
      </pivotArea>
    </format>
    <format dxfId="508">
      <pivotArea dataOnly="0" labelOnly="1" outline="0" fieldPosition="0">
        <references count="6">
          <reference field="0" count="1" selected="0">
            <x v="28"/>
          </reference>
          <reference field="1" count="1" selected="0">
            <x v="57"/>
          </reference>
          <reference field="3" count="1" selected="0">
            <x v="28"/>
          </reference>
          <reference field="5" count="1">
            <x v="4"/>
          </reference>
          <reference field="16" count="1" selected="0">
            <x v="1"/>
          </reference>
          <reference field="18" count="1" selected="0">
            <x v="0"/>
          </reference>
        </references>
      </pivotArea>
    </format>
    <format dxfId="507">
      <pivotArea dataOnly="0" labelOnly="1" outline="0" fieldPosition="0">
        <references count="6">
          <reference field="0" count="1" selected="0">
            <x v="29"/>
          </reference>
          <reference field="1" count="1" selected="0">
            <x v="10"/>
          </reference>
          <reference field="3" count="1" selected="0">
            <x v="24"/>
          </reference>
          <reference field="5" count="1">
            <x v="4"/>
          </reference>
          <reference field="16" count="1" selected="0">
            <x v="1"/>
          </reference>
          <reference field="18" count="1" selected="0">
            <x v="0"/>
          </reference>
        </references>
      </pivotArea>
    </format>
    <format dxfId="506">
      <pivotArea dataOnly="0" labelOnly="1" outline="0" fieldPosition="0">
        <references count="6">
          <reference field="0" count="1" selected="0">
            <x v="29"/>
          </reference>
          <reference field="1" count="1" selected="0">
            <x v="26"/>
          </reference>
          <reference field="3" count="1" selected="0">
            <x v="64"/>
          </reference>
          <reference field="5" count="1">
            <x v="0"/>
          </reference>
          <reference field="16" count="1" selected="0">
            <x v="1"/>
          </reference>
          <reference field="18" count="1" selected="0">
            <x v="3"/>
          </reference>
        </references>
      </pivotArea>
    </format>
    <format dxfId="505">
      <pivotArea dataOnly="0" labelOnly="1" outline="0" fieldPosition="0">
        <references count="6">
          <reference field="0" count="1" selected="0">
            <x v="29"/>
          </reference>
          <reference field="1" count="1" selected="0">
            <x v="33"/>
          </reference>
          <reference field="3" count="1" selected="0">
            <x v="78"/>
          </reference>
          <reference field="5" count="1">
            <x v="1"/>
          </reference>
          <reference field="16" count="1" selected="0">
            <x v="0"/>
          </reference>
          <reference field="18" count="1" selected="0">
            <x v="3"/>
          </reference>
        </references>
      </pivotArea>
    </format>
    <format dxfId="504">
      <pivotArea dataOnly="0" labelOnly="1" outline="0" fieldPosition="0">
        <references count="6">
          <reference field="0" count="1" selected="0">
            <x v="29"/>
          </reference>
          <reference field="1" count="1" selected="0">
            <x v="34"/>
          </reference>
          <reference field="3" count="1" selected="0">
            <x v="87"/>
          </reference>
          <reference field="5" count="1">
            <x v="3"/>
          </reference>
          <reference field="16" count="1" selected="0">
            <x v="0"/>
          </reference>
          <reference field="18" count="1" selected="0">
            <x v="3"/>
          </reference>
        </references>
      </pivotArea>
    </format>
    <format dxfId="503">
      <pivotArea dataOnly="0" labelOnly="1" outline="0" fieldPosition="0">
        <references count="6">
          <reference field="0" count="1" selected="0">
            <x v="30"/>
          </reference>
          <reference field="1" count="1" selected="0">
            <x v="46"/>
          </reference>
          <reference field="3" count="1" selected="0">
            <x v="6"/>
          </reference>
          <reference field="5" count="1">
            <x v="4"/>
          </reference>
          <reference field="16" count="1" selected="0">
            <x v="1"/>
          </reference>
          <reference field="18" count="1" selected="0">
            <x v="0"/>
          </reference>
        </references>
      </pivotArea>
    </format>
    <format dxfId="502">
      <pivotArea dataOnly="0" labelOnly="1" outline="0" fieldPosition="0">
        <references count="6">
          <reference field="0" count="1" selected="0">
            <x v="31"/>
          </reference>
          <reference field="1" count="1" selected="0">
            <x v="45"/>
          </reference>
          <reference field="3" count="1" selected="0">
            <x v="30"/>
          </reference>
          <reference field="5" count="1">
            <x v="4"/>
          </reference>
          <reference field="16" count="1" selected="0">
            <x v="1"/>
          </reference>
          <reference field="18" count="1" selected="0">
            <x v="0"/>
          </reference>
        </references>
      </pivotArea>
    </format>
    <format dxfId="501">
      <pivotArea dataOnly="0" labelOnly="1" outline="0" fieldPosition="0">
        <references count="6">
          <reference field="0" count="1" selected="0">
            <x v="31"/>
          </reference>
          <reference field="1" count="1" selected="0">
            <x v="51"/>
          </reference>
          <reference field="3" count="1" selected="0">
            <x v="61"/>
          </reference>
          <reference field="5" count="1">
            <x v="0"/>
          </reference>
          <reference field="16" count="1" selected="0">
            <x v="1"/>
          </reference>
          <reference field="18" count="1" selected="0">
            <x v="2"/>
          </reference>
        </references>
      </pivotArea>
    </format>
    <format dxfId="500">
      <pivotArea dataOnly="0" labelOnly="1" outline="0" fieldPosition="0">
        <references count="6">
          <reference field="0" count="1" selected="0">
            <x v="31"/>
          </reference>
          <reference field="1" count="1" selected="0">
            <x v="56"/>
          </reference>
          <reference field="3" count="1" selected="0">
            <x v="66"/>
          </reference>
          <reference field="5" count="1">
            <x v="0"/>
          </reference>
          <reference field="16" count="1" selected="0">
            <x v="1"/>
          </reference>
          <reference field="18" count="1" selected="0">
            <x v="3"/>
          </reference>
        </references>
      </pivotArea>
    </format>
    <format dxfId="499">
      <pivotArea dataOnly="0" labelOnly="1" outline="0" fieldPosition="0">
        <references count="6">
          <reference field="0" count="1" selected="0">
            <x v="32"/>
          </reference>
          <reference field="1" count="1" selected="0">
            <x v="24"/>
          </reference>
          <reference field="3" count="1" selected="0">
            <x v="56"/>
          </reference>
          <reference field="5" count="1">
            <x v="4"/>
          </reference>
          <reference field="16" count="1" selected="0">
            <x v="1"/>
          </reference>
          <reference field="18" count="1" selected="0">
            <x v="0"/>
          </reference>
        </references>
      </pivotArea>
    </format>
    <format dxfId="498">
      <pivotArea dataOnly="0" labelOnly="1" outline="0" fieldPosition="0">
        <references count="6">
          <reference field="0" count="1" selected="0">
            <x v="33"/>
          </reference>
          <reference field="1" count="1" selected="0">
            <x v="1"/>
          </reference>
          <reference field="3" count="1" selected="0">
            <x v="35"/>
          </reference>
          <reference field="5" count="1">
            <x v="4"/>
          </reference>
          <reference field="16" count="1" selected="0">
            <x v="1"/>
          </reference>
          <reference field="18" count="1" selected="0">
            <x v="0"/>
          </reference>
        </references>
      </pivotArea>
    </format>
    <format dxfId="497">
      <pivotArea dataOnly="0" labelOnly="1" outline="0" fieldPosition="0">
        <references count="6">
          <reference field="0" count="1" selected="0">
            <x v="34"/>
          </reference>
          <reference field="1" count="1" selected="0">
            <x v="37"/>
          </reference>
          <reference field="3" count="1" selected="0">
            <x v="52"/>
          </reference>
          <reference field="5" count="1">
            <x v="4"/>
          </reference>
          <reference field="16" count="1" selected="0">
            <x v="1"/>
          </reference>
          <reference field="18" count="1" selected="0">
            <x v="0"/>
          </reference>
        </references>
      </pivotArea>
    </format>
    <format dxfId="496">
      <pivotArea dataOnly="0" labelOnly="1" outline="0" fieldPosition="0">
        <references count="6">
          <reference field="0" count="1" selected="0">
            <x v="34"/>
          </reference>
          <reference field="1" count="1" selected="0">
            <x v="54"/>
          </reference>
          <reference field="3" count="1" selected="0">
            <x v="75"/>
          </reference>
          <reference field="5" count="1">
            <x v="0"/>
          </reference>
          <reference field="16" count="1" selected="0">
            <x v="1"/>
          </reference>
          <reference field="18" count="1" selected="0">
            <x v="4"/>
          </reference>
        </references>
      </pivotArea>
    </format>
    <format dxfId="495">
      <pivotArea dataOnly="0" labelOnly="1" outline="0" fieldPosition="0">
        <references count="6">
          <reference field="0" count="1" selected="0">
            <x v="34"/>
          </reference>
          <reference field="1" count="1" selected="0">
            <x v="59"/>
          </reference>
          <reference field="3" count="1" selected="0">
            <x v="85"/>
          </reference>
          <reference field="5" count="1">
            <x v="1"/>
          </reference>
          <reference field="16" count="1" selected="0">
            <x v="0"/>
          </reference>
          <reference field="18" count="1" selected="0">
            <x v="4"/>
          </reference>
        </references>
      </pivotArea>
    </format>
    <format dxfId="494">
      <pivotArea dataOnly="0" labelOnly="1" outline="0" fieldPosition="0">
        <references count="6">
          <reference field="0" count="1" selected="0">
            <x v="34"/>
          </reference>
          <reference field="1" count="1" selected="0">
            <x v="64"/>
          </reference>
          <reference field="3" count="1" selected="0">
            <x v="94"/>
          </reference>
          <reference field="5" count="1">
            <x v="3"/>
          </reference>
          <reference field="16" count="1" selected="0">
            <x v="0"/>
          </reference>
          <reference field="18" count="1" selected="0">
            <x v="4"/>
          </reference>
        </references>
      </pivotArea>
    </format>
    <format dxfId="493">
      <pivotArea dataOnly="0" labelOnly="1" outline="0" fieldPosition="0">
        <references count="6">
          <reference field="0" count="1" selected="0">
            <x v="35"/>
          </reference>
          <reference field="1" count="1" selected="0">
            <x v="18"/>
          </reference>
          <reference field="3" count="1" selected="0">
            <x v="13"/>
          </reference>
          <reference field="5" count="1">
            <x v="4"/>
          </reference>
          <reference field="16" count="1" selected="0">
            <x v="1"/>
          </reference>
          <reference field="18" count="1" selected="0">
            <x v="0"/>
          </reference>
        </references>
      </pivotArea>
    </format>
    <format dxfId="492">
      <pivotArea dataOnly="0" labelOnly="1" outline="0" fieldPosition="0">
        <references count="6">
          <reference field="0" count="1" selected="0">
            <x v="36"/>
          </reference>
          <reference field="1" count="1" selected="0">
            <x v="0"/>
          </reference>
          <reference field="3" count="1" selected="0">
            <x v="4"/>
          </reference>
          <reference field="5" count="1">
            <x v="4"/>
          </reference>
          <reference field="16" count="1" selected="0">
            <x v="1"/>
          </reference>
          <reference field="18" count="1" selected="0">
            <x v="0"/>
          </reference>
        </references>
      </pivotArea>
    </format>
    <format dxfId="491">
      <pivotArea dataOnly="0" labelOnly="1" outline="0" fieldPosition="0">
        <references count="6">
          <reference field="0" count="1" selected="0">
            <x v="37"/>
          </reference>
          <reference field="1" count="1" selected="0">
            <x v="45"/>
          </reference>
          <reference field="3" count="1" selected="0">
            <x v="44"/>
          </reference>
          <reference field="5" count="1">
            <x v="4"/>
          </reference>
          <reference field="16" count="1" selected="0">
            <x v="1"/>
          </reference>
          <reference field="18" count="1" selected="0">
            <x v="0"/>
          </reference>
        </references>
      </pivotArea>
    </format>
    <format dxfId="490">
      <pivotArea dataOnly="0" labelOnly="1" outline="0" fieldPosition="0">
        <references count="6">
          <reference field="0" count="1" selected="0">
            <x v="38"/>
          </reference>
          <reference field="1" count="1" selected="0">
            <x v="13"/>
          </reference>
          <reference field="3" count="1" selected="0">
            <x v="35"/>
          </reference>
          <reference field="5" count="1">
            <x v="4"/>
          </reference>
          <reference field="16" count="1" selected="0">
            <x v="1"/>
          </reference>
          <reference field="18" count="1" selected="0">
            <x v="0"/>
          </reference>
        </references>
      </pivotArea>
    </format>
    <format dxfId="489">
      <pivotArea dataOnly="0" labelOnly="1" outline="0" fieldPosition="0">
        <references count="6">
          <reference field="0" count="1" selected="0">
            <x v="39"/>
          </reference>
          <reference field="1" count="1" selected="0">
            <x v="11"/>
          </reference>
          <reference field="3" count="1" selected="0">
            <x v="43"/>
          </reference>
          <reference field="5" count="1">
            <x v="4"/>
          </reference>
          <reference field="16" count="1" selected="0">
            <x v="1"/>
          </reference>
          <reference field="18" count="1" selected="0">
            <x v="0"/>
          </reference>
        </references>
      </pivotArea>
    </format>
    <format dxfId="488">
      <pivotArea dataOnly="0" labelOnly="1" outline="0" fieldPosition="0">
        <references count="6">
          <reference field="0" count="1" selected="0">
            <x v="40"/>
          </reference>
          <reference field="1" count="1" selected="0">
            <x v="36"/>
          </reference>
          <reference field="3" count="1" selected="0">
            <x v="29"/>
          </reference>
          <reference field="5" count="1">
            <x v="4"/>
          </reference>
          <reference field="16" count="1" selected="0">
            <x v="1"/>
          </reference>
          <reference field="18" count="1" selected="0">
            <x v="0"/>
          </reference>
        </references>
      </pivotArea>
    </format>
    <format dxfId="487">
      <pivotArea dataOnly="0" labelOnly="1" outline="0" fieldPosition="0">
        <references count="6">
          <reference field="0" count="1" selected="0">
            <x v="41"/>
          </reference>
          <reference field="1" count="1" selected="0">
            <x v="41"/>
          </reference>
          <reference field="3" count="1" selected="0">
            <x v="10"/>
          </reference>
          <reference field="5" count="1">
            <x v="4"/>
          </reference>
          <reference field="16" count="1" selected="0">
            <x v="1"/>
          </reference>
          <reference field="18" count="1" selected="0">
            <x v="0"/>
          </reference>
        </references>
      </pivotArea>
    </format>
    <format dxfId="486">
      <pivotArea dataOnly="0" labelOnly="1" outline="0" fieldPosition="0">
        <references count="6">
          <reference field="0" count="1" selected="0">
            <x v="42"/>
          </reference>
          <reference field="1" count="1" selected="0">
            <x v="20"/>
          </reference>
          <reference field="3" count="1" selected="0">
            <x v="33"/>
          </reference>
          <reference field="5" count="1">
            <x v="4"/>
          </reference>
          <reference field="16" count="1" selected="0">
            <x v="1"/>
          </reference>
          <reference field="18" count="1" selected="0">
            <x v="0"/>
          </reference>
        </references>
      </pivotArea>
    </format>
    <format dxfId="485">
      <pivotArea dataOnly="0" labelOnly="1" outline="0" fieldPosition="0">
        <references count="6">
          <reference field="0" count="1" selected="0">
            <x v="42"/>
          </reference>
          <reference field="1" count="1" selected="0">
            <x v="38"/>
          </reference>
          <reference field="3" count="1" selected="0">
            <x v="62"/>
          </reference>
          <reference field="5" count="1">
            <x v="0"/>
          </reference>
          <reference field="16" count="1" selected="0">
            <x v="1"/>
          </reference>
          <reference field="18" count="1" selected="0">
            <x v="2"/>
          </reference>
        </references>
      </pivotArea>
    </format>
    <format dxfId="484">
      <pivotArea dataOnly="0" labelOnly="1" outline="0" fieldPosition="0">
        <references count="6">
          <reference field="0" count="1" selected="0">
            <x v="42"/>
          </reference>
          <reference field="1" count="1" selected="0">
            <x v="40"/>
          </reference>
          <reference field="3" count="1" selected="0">
            <x v="68"/>
          </reference>
          <reference field="5" count="1">
            <x v="1"/>
          </reference>
          <reference field="16" count="1" selected="0">
            <x v="0"/>
          </reference>
          <reference field="18" count="1" selected="0">
            <x v="2"/>
          </reference>
        </references>
      </pivotArea>
    </format>
    <format dxfId="483">
      <pivotArea dataOnly="0" labelOnly="1" outline="0" fieldPosition="0">
        <references count="6">
          <reference field="0" count="1" selected="0">
            <x v="42"/>
          </reference>
          <reference field="1" count="1" selected="0">
            <x v="42"/>
          </reference>
          <reference field="3" count="1" selected="0">
            <x v="81"/>
          </reference>
          <reference field="5" count="1">
            <x v="3"/>
          </reference>
          <reference field="16" count="1" selected="0">
            <x v="0"/>
          </reference>
          <reference field="18" count="1" selected="0">
            <x v="2"/>
          </reference>
        </references>
      </pivotArea>
    </format>
    <format dxfId="482">
      <pivotArea dataOnly="0" labelOnly="1" outline="0" fieldPosition="0">
        <references count="6">
          <reference field="0" count="1" selected="0">
            <x v="42"/>
          </reference>
          <reference field="1" count="1" selected="0">
            <x v="50"/>
          </reference>
          <reference field="3" count="1" selected="0">
            <x v="89"/>
          </reference>
          <reference field="5" count="1">
            <x v="3"/>
          </reference>
          <reference field="16" count="1" selected="0">
            <x v="0"/>
          </reference>
          <reference field="18" count="1" selected="0">
            <x v="4"/>
          </reference>
        </references>
      </pivotArea>
    </format>
    <format dxfId="481">
      <pivotArea dataOnly="0" labelOnly="1" outline="0" fieldPosition="0">
        <references count="6">
          <reference field="0" count="1" selected="0">
            <x v="43"/>
          </reference>
          <reference field="1" count="1" selected="0">
            <x v="12"/>
          </reference>
          <reference field="3" count="1" selected="0">
            <x v="40"/>
          </reference>
          <reference field="5" count="1">
            <x v="4"/>
          </reference>
          <reference field="16" count="1" selected="0">
            <x v="1"/>
          </reference>
          <reference field="18" count="1" selected="0">
            <x v="0"/>
          </reference>
        </references>
      </pivotArea>
    </format>
    <format dxfId="480">
      <pivotArea dataOnly="0" labelOnly="1" outline="0" fieldPosition="0">
        <references count="6">
          <reference field="0" count="1" selected="0">
            <x v="44"/>
          </reference>
          <reference field="1" count="1" selected="0">
            <x v="45"/>
          </reference>
          <reference field="3" count="1" selected="0">
            <x v="53"/>
          </reference>
          <reference field="5" count="1">
            <x v="4"/>
          </reference>
          <reference field="16" count="1" selected="0">
            <x v="1"/>
          </reference>
          <reference field="18" count="1" selected="0">
            <x v="0"/>
          </reference>
        </references>
      </pivotArea>
    </format>
    <format dxfId="479">
      <pivotArea dataOnly="0" labelOnly="1" outline="0" fieldPosition="0">
        <references count="6">
          <reference field="0" count="1" selected="0">
            <x v="44"/>
          </reference>
          <reference field="1" count="1" selected="0">
            <x v="63"/>
          </reference>
          <reference field="3" count="1" selected="0">
            <x v="76"/>
          </reference>
          <reference field="5" count="1">
            <x v="0"/>
          </reference>
          <reference field="16" count="1" selected="0">
            <x v="1"/>
          </reference>
          <reference field="18" count="1" selected="0">
            <x v="4"/>
          </reference>
        </references>
      </pivotArea>
    </format>
    <format dxfId="478">
      <pivotArea dataOnly="0" labelOnly="1" outline="0" fieldPosition="0">
        <references count="6">
          <reference field="0" count="1" selected="0">
            <x v="45"/>
          </reference>
          <reference field="1" count="1" selected="0">
            <x v="34"/>
          </reference>
          <reference field="3" count="1" selected="0">
            <x v="50"/>
          </reference>
          <reference field="5" count="1">
            <x v="4"/>
          </reference>
          <reference field="16" count="1" selected="0">
            <x v="1"/>
          </reference>
          <reference field="18" count="1" selected="0">
            <x v="0"/>
          </reference>
        </references>
      </pivotArea>
    </format>
    <format dxfId="477">
      <pivotArea dataOnly="0" labelOnly="1" outline="0" fieldPosition="0">
        <references count="6">
          <reference field="0" count="1" selected="0">
            <x v="46"/>
          </reference>
          <reference field="1" count="1" selected="0">
            <x v="19"/>
          </reference>
          <reference field="3" count="1" selected="0">
            <x v="36"/>
          </reference>
          <reference field="5" count="1">
            <x v="4"/>
          </reference>
          <reference field="16" count="1" selected="0">
            <x v="1"/>
          </reference>
          <reference field="18" count="1" selected="0">
            <x v="0"/>
          </reference>
        </references>
      </pivotArea>
    </format>
    <format dxfId="476">
      <pivotArea dataOnly="0" labelOnly="1" outline="0" fieldPosition="0">
        <references count="6">
          <reference field="0" count="1" selected="0">
            <x v="47"/>
          </reference>
          <reference field="1" count="1" selected="0">
            <x v="1"/>
          </reference>
          <reference field="3" count="1" selected="0">
            <x v="2"/>
          </reference>
          <reference field="5" count="1">
            <x v="4"/>
          </reference>
          <reference field="16" count="1" selected="0">
            <x v="1"/>
          </reference>
          <reference field="18" count="1" selected="0">
            <x v="0"/>
          </reference>
        </references>
      </pivotArea>
    </format>
    <format dxfId="475">
      <pivotArea dataOnly="0" labelOnly="1" outline="0" fieldPosition="0">
        <references count="6">
          <reference field="0" count="1" selected="0">
            <x v="48"/>
          </reference>
          <reference field="1" count="1" selected="0">
            <x v="41"/>
          </reference>
          <reference field="3" count="1" selected="0">
            <x v="20"/>
          </reference>
          <reference field="5" count="1">
            <x v="4"/>
          </reference>
          <reference field="16" count="1" selected="0">
            <x v="1"/>
          </reference>
          <reference field="18" count="1" selected="0">
            <x v="0"/>
          </reference>
        </references>
      </pivotArea>
    </format>
    <format dxfId="474">
      <pivotArea dataOnly="0" labelOnly="1" outline="0" fieldPosition="0">
        <references count="6">
          <reference field="0" count="1" selected="0">
            <x v="49"/>
          </reference>
          <reference field="1" count="1" selected="0">
            <x v="2"/>
          </reference>
          <reference field="3" count="1" selected="0">
            <x v="55"/>
          </reference>
          <reference field="5" count="1">
            <x v="4"/>
          </reference>
          <reference field="16" count="1" selected="0">
            <x v="1"/>
          </reference>
          <reference field="18" count="1" selected="0">
            <x v="0"/>
          </reference>
        </references>
      </pivotArea>
    </format>
    <format dxfId="473">
      <pivotArea dataOnly="0" labelOnly="1" outline="0" fieldPosition="0">
        <references count="6">
          <reference field="0" count="1" selected="0">
            <x v="50"/>
          </reference>
          <reference field="1" count="1" selected="0">
            <x v="54"/>
          </reference>
          <reference field="3" count="1" selected="0">
            <x v="47"/>
          </reference>
          <reference field="5" count="1">
            <x v="4"/>
          </reference>
          <reference field="16" count="1" selected="0">
            <x v="1"/>
          </reference>
          <reference field="18" count="1" selected="0">
            <x v="0"/>
          </reference>
        </references>
      </pivotArea>
    </format>
    <format dxfId="472">
      <pivotArea dataOnly="0" labelOnly="1" outline="0" fieldPosition="0">
        <references count="6">
          <reference field="0" count="1" selected="0">
            <x v="50"/>
          </reference>
          <reference field="1" count="1" selected="0">
            <x v="67"/>
          </reference>
          <reference field="3" count="1" selected="0">
            <x v="72"/>
          </reference>
          <reference field="5" count="1">
            <x v="0"/>
          </reference>
          <reference field="16" count="1" selected="0">
            <x v="1"/>
          </reference>
          <reference field="18" count="1" selected="0">
            <x v="4"/>
          </reference>
        </references>
      </pivotArea>
    </format>
    <format dxfId="471">
      <pivotArea dataOnly="0" labelOnly="1" outline="0" fieldPosition="0">
        <references count="6">
          <reference field="0" count="1" selected="0">
            <x v="51"/>
          </reference>
          <reference field="1" count="1" selected="0">
            <x v="3"/>
          </reference>
          <reference field="3" count="1" selected="0">
            <x v="42"/>
          </reference>
          <reference field="5" count="1">
            <x v="4"/>
          </reference>
          <reference field="16" count="1" selected="0">
            <x v="1"/>
          </reference>
          <reference field="18" count="1" selected="0">
            <x v="0"/>
          </reference>
        </references>
      </pivotArea>
    </format>
    <format dxfId="470">
      <pivotArea dataOnly="0" labelOnly="1" outline="0" fieldPosition="0">
        <references count="6">
          <reference field="0" count="1" selected="0">
            <x v="52"/>
          </reference>
          <reference field="1" count="1" selected="0">
            <x v="3"/>
          </reference>
          <reference field="3" count="1" selected="0">
            <x v="52"/>
          </reference>
          <reference field="5" count="1">
            <x v="0"/>
          </reference>
          <reference field="16" count="1" selected="0">
            <x v="1"/>
          </reference>
          <reference field="18" count="1" selected="0">
            <x v="1"/>
          </reference>
        </references>
      </pivotArea>
    </format>
    <format dxfId="469">
      <pivotArea dataOnly="0" labelOnly="1" outline="0" fieldPosition="0">
        <references count="6">
          <reference field="0" count="1" selected="0">
            <x v="53"/>
          </reference>
          <reference field="1" count="1" selected="0">
            <x v="4"/>
          </reference>
          <reference field="3" count="1" selected="0">
            <x v="21"/>
          </reference>
          <reference field="5" count="1">
            <x v="4"/>
          </reference>
          <reference field="16" count="1" selected="0">
            <x v="1"/>
          </reference>
          <reference field="18" count="1" selected="0">
            <x v="0"/>
          </reference>
        </references>
      </pivotArea>
    </format>
    <format dxfId="468">
      <pivotArea dataOnly="0" labelOnly="1" outline="0" fieldPosition="0">
        <references count="6">
          <reference field="0" count="1" selected="0">
            <x v="54"/>
          </reference>
          <reference field="1" count="1" selected="0">
            <x v="39"/>
          </reference>
          <reference field="3" count="1" selected="0">
            <x v="12"/>
          </reference>
          <reference field="5" count="1">
            <x v="4"/>
          </reference>
          <reference field="16" count="1" selected="0">
            <x v="1"/>
          </reference>
          <reference field="18" count="1" selected="0">
            <x v="0"/>
          </reference>
        </references>
      </pivotArea>
    </format>
    <format dxfId="467">
      <pivotArea dataOnly="0" labelOnly="1" outline="0" fieldPosition="0">
        <references count="6">
          <reference field="0" count="1" selected="0">
            <x v="55"/>
          </reference>
          <reference field="1" count="1" selected="0">
            <x v="37"/>
          </reference>
          <reference field="3" count="1" selected="0">
            <x v="1"/>
          </reference>
          <reference field="5" count="1">
            <x v="4"/>
          </reference>
          <reference field="16" count="1" selected="0">
            <x v="1"/>
          </reference>
          <reference field="18" count="1" selected="0">
            <x v="0"/>
          </reference>
        </references>
      </pivotArea>
    </format>
    <format dxfId="466">
      <pivotArea dataOnly="0" labelOnly="1" outline="0" fieldPosition="0">
        <references count="6">
          <reference field="0" count="1" selected="0">
            <x v="56"/>
          </reference>
          <reference field="1" count="1" selected="0">
            <x v="29"/>
          </reference>
          <reference field="3" count="1" selected="0">
            <x v="22"/>
          </reference>
          <reference field="5" count="1">
            <x v="4"/>
          </reference>
          <reference field="16" count="1" selected="0">
            <x v="1"/>
          </reference>
          <reference field="18" count="1" selected="0">
            <x v="0"/>
          </reference>
        </references>
      </pivotArea>
    </format>
    <format dxfId="465">
      <pivotArea dataOnly="0" labelOnly="1" outline="0" fieldPosition="0">
        <references count="6">
          <reference field="0" count="1" selected="0">
            <x v="56"/>
          </reference>
          <reference field="1" count="1" selected="0">
            <x v="41"/>
          </reference>
          <reference field="3" count="1" selected="0">
            <x v="59"/>
          </reference>
          <reference field="5" count="1">
            <x v="0"/>
          </reference>
          <reference field="16" count="1" selected="0">
            <x v="1"/>
          </reference>
          <reference field="18" count="1" selected="0">
            <x v="2"/>
          </reference>
        </references>
      </pivotArea>
    </format>
    <format dxfId="464">
      <pivotArea dataOnly="0" labelOnly="1" outline="0" fieldPosition="0">
        <references count="6">
          <reference field="0" count="1" selected="0">
            <x v="56"/>
          </reference>
          <reference field="1" count="1" selected="0">
            <x v="49"/>
          </reference>
          <reference field="3" count="1" selected="0">
            <x v="69"/>
          </reference>
          <reference field="5" count="1">
            <x v="0"/>
          </reference>
          <reference field="16" count="1" selected="0">
            <x v="1"/>
          </reference>
          <reference field="18" count="1" selected="0">
            <x v="4"/>
          </reference>
        </references>
      </pivotArea>
    </format>
    <format dxfId="463">
      <pivotArea dataOnly="0" labelOnly="1" outline="0" fieldPosition="0">
        <references count="6">
          <reference field="0" count="1" selected="0">
            <x v="57"/>
          </reference>
          <reference field="1" count="1" selected="0">
            <x v="35"/>
          </reference>
          <reference field="3" count="1" selected="0">
            <x v="5"/>
          </reference>
          <reference field="5" count="1">
            <x v="4"/>
          </reference>
          <reference field="16" count="1" selected="0">
            <x v="1"/>
          </reference>
          <reference field="18" count="1" selected="0">
            <x v="0"/>
          </reference>
        </references>
      </pivotArea>
    </format>
    <format dxfId="462">
      <pivotArea dataOnly="0" labelOnly="1" outline="0" fieldPosition="0">
        <references count="6">
          <reference field="0" count="1" selected="0">
            <x v="57"/>
          </reference>
          <reference field="1" count="1" selected="0">
            <x v="45"/>
          </reference>
          <reference field="3" count="1" selected="0">
            <x v="49"/>
          </reference>
          <reference field="5" count="1">
            <x v="4"/>
          </reference>
          <reference field="16" count="1" selected="0">
            <x v="1"/>
          </reference>
          <reference field="18" count="1" selected="0">
            <x v="0"/>
          </reference>
        </references>
      </pivotArea>
    </format>
    <format dxfId="461">
      <pivotArea dataOnly="0" labelOnly="1" outline="0" fieldPosition="0">
        <references count="6">
          <reference field="0" count="1" selected="0">
            <x v="57"/>
          </reference>
          <reference field="1" count="1" selected="0">
            <x v="63"/>
          </reference>
          <reference field="3" count="1" selected="0">
            <x v="74"/>
          </reference>
          <reference field="5" count="1">
            <x v="0"/>
          </reference>
          <reference field="16" count="1" selected="0">
            <x v="1"/>
          </reference>
          <reference field="18" count="1" selected="0">
            <x v="4"/>
          </reference>
        </references>
      </pivotArea>
    </format>
    <format dxfId="460">
      <pivotArea dataOnly="0" labelOnly="1" outline="0" fieldPosition="0">
        <references count="6">
          <reference field="0" count="1" selected="0">
            <x v="57"/>
          </reference>
          <reference field="1" count="1" selected="0">
            <x v="70"/>
          </reference>
          <reference field="3" count="1" selected="0">
            <x v="93"/>
          </reference>
          <reference field="5" count="1">
            <x v="3"/>
          </reference>
          <reference field="16" count="1" selected="0">
            <x v="0"/>
          </reference>
          <reference field="18" count="1" selected="0">
            <x v="4"/>
          </reference>
        </references>
      </pivotArea>
    </format>
    <format dxfId="459">
      <pivotArea dataOnly="0" labelOnly="1" outline="0" fieldPosition="0">
        <references count="6">
          <reference field="0" count="1" selected="0">
            <x v="58"/>
          </reference>
          <reference field="1" count="1" selected="0">
            <x v="25"/>
          </reference>
          <reference field="3" count="1" selected="0">
            <x v="27"/>
          </reference>
          <reference field="5" count="1">
            <x v="4"/>
          </reference>
          <reference field="16" count="1" selected="0">
            <x v="1"/>
          </reference>
          <reference field="18" count="1" selected="0">
            <x v="0"/>
          </reference>
        </references>
      </pivotArea>
    </format>
    <format dxfId="458">
      <pivotArea dataOnly="0" labelOnly="1" outline="0" fieldPosition="0">
        <references count="6">
          <reference field="0" count="1" selected="0">
            <x v="59"/>
          </reference>
          <reference field="1" count="1" selected="0">
            <x v="14"/>
          </reference>
          <reference field="3" count="1" selected="0">
            <x v="48"/>
          </reference>
          <reference field="5" count="1">
            <x v="4"/>
          </reference>
          <reference field="16" count="1" selected="0">
            <x v="1"/>
          </reference>
          <reference field="18" count="1" selected="0">
            <x v="0"/>
          </reference>
        </references>
      </pivotArea>
    </format>
    <format dxfId="457">
      <pivotArea dataOnly="0" labelOnly="1" outline="0" fieldPosition="0">
        <references count="6">
          <reference field="0" count="1" selected="0">
            <x v="60"/>
          </reference>
          <reference field="1" count="1" selected="0">
            <x v="9"/>
          </reference>
          <reference field="3" count="1" selected="0">
            <x v="39"/>
          </reference>
          <reference field="5" count="1">
            <x v="4"/>
          </reference>
          <reference field="16" count="1" selected="0">
            <x v="1"/>
          </reference>
          <reference field="18" count="1" selected="0">
            <x v="0"/>
          </reference>
        </references>
      </pivotArea>
    </format>
    <format dxfId="456">
      <pivotArea dataOnly="0" labelOnly="1" outline="0" fieldPosition="0">
        <references count="6">
          <reference field="0" count="1" selected="0">
            <x v="61"/>
          </reference>
          <reference field="1" count="1" selected="0">
            <x v="21"/>
          </reference>
          <reference field="3" count="1" selected="0">
            <x v="17"/>
          </reference>
          <reference field="5" count="1">
            <x v="4"/>
          </reference>
          <reference field="16" count="1" selected="0">
            <x v="1"/>
          </reference>
          <reference field="18" count="1" selected="0">
            <x v="0"/>
          </reference>
        </references>
      </pivotArea>
    </format>
    <format dxfId="455">
      <pivotArea dataOnly="0" labelOnly="1" outline="0" fieldPosition="0">
        <references count="6">
          <reference field="0" count="1" selected="0">
            <x v="62"/>
          </reference>
          <reference field="1" count="1" selected="0">
            <x v="5"/>
          </reference>
          <reference field="3" count="1" selected="0">
            <x v="12"/>
          </reference>
          <reference field="5" count="1">
            <x v="4"/>
          </reference>
          <reference field="16" count="1" selected="0">
            <x v="1"/>
          </reference>
          <reference field="18" count="1" selected="0">
            <x v="0"/>
          </reference>
        </references>
      </pivotArea>
    </format>
    <format dxfId="454">
      <pivotArea dataOnly="0" labelOnly="1" outline="0" fieldPosition="0">
        <references count="6">
          <reference field="0" count="1" selected="0">
            <x v="63"/>
          </reference>
          <reference field="1" count="1" selected="0">
            <x v="5"/>
          </reference>
          <reference field="3" count="1" selected="0">
            <x v="2"/>
          </reference>
          <reference field="5" count="1">
            <x v="4"/>
          </reference>
          <reference field="16" count="1" selected="0">
            <x v="1"/>
          </reference>
          <reference field="18" count="1" selected="0">
            <x v="0"/>
          </reference>
        </references>
      </pivotArea>
    </format>
    <format dxfId="453">
      <pivotArea dataOnly="0" labelOnly="1" outline="0" fieldPosition="0">
        <references count="6">
          <reference field="0" count="1" selected="0">
            <x v="63"/>
          </reference>
          <reference field="1" count="1" selected="0">
            <x v="25"/>
          </reference>
          <reference field="3" count="1" selected="0">
            <x v="67"/>
          </reference>
          <reference field="5" count="1">
            <x v="0"/>
          </reference>
          <reference field="16" count="1" selected="0">
            <x v="1"/>
          </reference>
          <reference field="18" count="1" selected="0">
            <x v="4"/>
          </reference>
        </references>
      </pivotArea>
    </format>
    <format dxfId="452">
      <pivotArea dataOnly="0" labelOnly="1" outline="0" fieldPosition="0">
        <references count="6">
          <reference field="0" count="1" selected="0">
            <x v="63"/>
          </reference>
          <reference field="1" count="1" selected="0">
            <x v="37"/>
          </reference>
          <reference field="3" count="1" selected="0">
            <x v="88"/>
          </reference>
          <reference field="5" count="1">
            <x v="3"/>
          </reference>
          <reference field="16" count="1" selected="0">
            <x v="0"/>
          </reference>
          <reference field="18" count="1" selected="0">
            <x v="4"/>
          </reference>
        </references>
      </pivotArea>
    </format>
    <format dxfId="451">
      <pivotArea dataOnly="0" labelOnly="1" outline="0" fieldPosition="0">
        <references count="6">
          <reference field="0" count="1" selected="0">
            <x v="64"/>
          </reference>
          <reference field="1" count="1" selected="0">
            <x v="10"/>
          </reference>
          <reference field="3" count="1" selected="0">
            <x v="23"/>
          </reference>
          <reference field="5" count="1">
            <x v="4"/>
          </reference>
          <reference field="16" count="1" selected="0">
            <x v="1"/>
          </reference>
          <reference field="18" count="1" selected="0">
            <x v="0"/>
          </reference>
        </references>
      </pivotArea>
    </format>
    <format dxfId="450">
      <pivotArea dataOnly="0" labelOnly="1" outline="0" fieldPosition="0">
        <references count="6">
          <reference field="0" count="1" selected="0">
            <x v="65"/>
          </reference>
          <reference field="1" count="1" selected="0">
            <x v="26"/>
          </reference>
          <reference field="3" count="1" selected="0">
            <x v="25"/>
          </reference>
          <reference field="5" count="1">
            <x v="4"/>
          </reference>
          <reference field="16" count="1" selected="0">
            <x v="1"/>
          </reference>
          <reference field="18" count="1" selected="0">
            <x v="0"/>
          </reference>
        </references>
      </pivotArea>
    </format>
    <format dxfId="449">
      <pivotArea dataOnly="0" labelOnly="1" outline="0" fieldPosition="0">
        <references count="6">
          <reference field="0" count="1" selected="0">
            <x v="65"/>
          </reference>
          <reference field="1" count="1" selected="0">
            <x v="41"/>
          </reference>
          <reference field="3" count="1" selected="0">
            <x v="60"/>
          </reference>
          <reference field="5" count="1">
            <x v="0"/>
          </reference>
          <reference field="16" count="1" selected="0">
            <x v="1"/>
          </reference>
          <reference field="18" count="1" selected="0">
            <x v="2"/>
          </reference>
        </references>
      </pivotArea>
    </format>
    <format dxfId="448">
      <pivotArea dataOnly="0" labelOnly="1" outline="0" fieldPosition="0">
        <references count="6">
          <reference field="0" count="1" selected="0">
            <x v="65"/>
          </reference>
          <reference field="1" count="1" selected="0">
            <x v="48"/>
          </reference>
          <reference field="3" count="1" selected="0">
            <x v="65"/>
          </reference>
          <reference field="5" count="1">
            <x v="0"/>
          </reference>
          <reference field="16" count="1" selected="0">
            <x v="1"/>
          </reference>
          <reference field="18" count="1" selected="0">
            <x v="3"/>
          </reference>
        </references>
      </pivotArea>
    </format>
    <format dxfId="447">
      <pivotArea dataOnly="0" labelOnly="1" outline="0" fieldPosition="0">
        <references count="6">
          <reference field="0" count="1" selected="0">
            <x v="66"/>
          </reference>
          <reference field="1" count="1" selected="0">
            <x v="35"/>
          </reference>
          <reference field="3" count="1" selected="0">
            <x v="8"/>
          </reference>
          <reference field="5" count="1">
            <x v="4"/>
          </reference>
          <reference field="16" count="1" selected="0">
            <x v="1"/>
          </reference>
          <reference field="18" count="1" selected="0">
            <x v="0"/>
          </reference>
        </references>
      </pivotArea>
    </format>
    <format dxfId="446">
      <pivotArea dataOnly="0" labelOnly="1" outline="0" fieldPosition="0">
        <references count="6">
          <reference field="0" count="1" selected="0">
            <x v="67"/>
          </reference>
          <reference field="1" count="1" selected="0">
            <x v="35"/>
          </reference>
          <reference field="3" count="1" selected="0">
            <x v="21"/>
          </reference>
          <reference field="5" count="1">
            <x v="4"/>
          </reference>
          <reference field="16" count="1" selected="0">
            <x v="1"/>
          </reference>
          <reference field="18" count="1" selected="0">
            <x v="0"/>
          </reference>
        </references>
      </pivotArea>
    </format>
    <format dxfId="445">
      <pivotArea dataOnly="0" labelOnly="1" outline="0" fieldPosition="0">
        <references count="6">
          <reference field="0" count="1" selected="0">
            <x v="68"/>
          </reference>
          <reference field="1" count="1" selected="0">
            <x v="22"/>
          </reference>
          <reference field="3" count="1" selected="0">
            <x v="51"/>
          </reference>
          <reference field="5" count="1">
            <x v="4"/>
          </reference>
          <reference field="16" count="1" selected="0">
            <x v="1"/>
          </reference>
          <reference field="18" count="1" selected="0">
            <x v="0"/>
          </reference>
        </references>
      </pivotArea>
    </format>
    <format dxfId="444">
      <pivotArea dataOnly="0" labelOnly="1" outline="0" fieldPosition="0">
        <references count="6">
          <reference field="0" count="1" selected="0">
            <x v="69"/>
          </reference>
          <reference field="1" count="1" selected="0">
            <x v="44"/>
          </reference>
          <reference field="3" count="1" selected="0">
            <x v="46"/>
          </reference>
          <reference field="5" count="1">
            <x v="4"/>
          </reference>
          <reference field="16" count="1" selected="0">
            <x v="1"/>
          </reference>
          <reference field="18" count="1" selected="0">
            <x v="0"/>
          </reference>
        </references>
      </pivotArea>
    </format>
    <format dxfId="443">
      <pivotArea dataOnly="0" labelOnly="1" outline="0" fieldPosition="0">
        <references count="6">
          <reference field="0" count="1" selected="0">
            <x v="70"/>
          </reference>
          <reference field="1" count="1" selected="0">
            <x v="44"/>
          </reference>
          <reference field="3" count="1" selected="0">
            <x v="45"/>
          </reference>
          <reference field="5" count="1">
            <x v="4"/>
          </reference>
          <reference field="16" count="1" selected="0">
            <x v="1"/>
          </reference>
          <reference field="18" count="1" selected="0">
            <x v="0"/>
          </reference>
        </references>
      </pivotArea>
    </format>
    <format dxfId="442">
      <pivotArea dataOnly="0" labelOnly="1" outline="0" fieldPosition="0">
        <references count="6">
          <reference field="0" count="1" selected="0">
            <x v="71"/>
          </reference>
          <reference field="1" count="1" selected="0">
            <x v="43"/>
          </reference>
          <reference field="3" count="1" selected="0">
            <x v="44"/>
          </reference>
          <reference field="5" count="1">
            <x v="4"/>
          </reference>
          <reference field="16" count="1" selected="0">
            <x v="1"/>
          </reference>
          <reference field="18" count="1" selected="0">
            <x v="0"/>
          </reference>
        </references>
      </pivotArea>
    </format>
    <format dxfId="441">
      <pivotArea dataOnly="0" labelOnly="1" outline="0" fieldPosition="0">
        <references count="6">
          <reference field="0" count="1" selected="0">
            <x v="71"/>
          </reference>
          <reference field="1" count="1" selected="0">
            <x v="53"/>
          </reference>
          <reference field="3" count="1" selected="0">
            <x v="63"/>
          </reference>
          <reference field="5" count="1">
            <x v="0"/>
          </reference>
          <reference field="16" count="1" selected="0">
            <x v="1"/>
          </reference>
          <reference field="18" count="1" selected="0">
            <x v="2"/>
          </reference>
        </references>
      </pivotArea>
    </format>
    <format dxfId="440">
      <pivotArea dataOnly="0" labelOnly="1" outline="0" fieldPosition="0">
        <references count="6">
          <reference field="0" count="1" selected="0">
            <x v="71"/>
          </reference>
          <reference field="1" count="1" selected="0">
            <x v="62"/>
          </reference>
          <reference field="3" count="1" selected="0">
            <x v="71"/>
          </reference>
          <reference field="5" count="1">
            <x v="0"/>
          </reference>
          <reference field="16" count="1" selected="0">
            <x v="1"/>
          </reference>
          <reference field="18" count="1" selected="0">
            <x v="4"/>
          </reference>
        </references>
      </pivotArea>
    </format>
    <format dxfId="439">
      <pivotArea dataOnly="0" labelOnly="1" outline="0" fieldPosition="0">
        <references count="6">
          <reference field="0" count="1" selected="0">
            <x v="71"/>
          </reference>
          <reference field="1" count="1" selected="0">
            <x v="68"/>
          </reference>
          <reference field="3" count="1" selected="0">
            <x v="84"/>
          </reference>
          <reference field="5" count="1">
            <x v="2"/>
          </reference>
          <reference field="16" count="1" selected="0">
            <x v="0"/>
          </reference>
          <reference field="18" count="1" selected="0">
            <x v="4"/>
          </reference>
        </references>
      </pivotArea>
    </format>
    <format dxfId="438">
      <pivotArea dataOnly="0" labelOnly="1" outline="0" fieldPosition="0">
        <references count="6">
          <reference field="0" count="1" selected="0">
            <x v="71"/>
          </reference>
          <reference field="1" count="1" selected="0">
            <x v="72"/>
          </reference>
          <reference field="3" count="1" selected="0">
            <x v="91"/>
          </reference>
          <reference field="5" count="1">
            <x v="3"/>
          </reference>
          <reference field="16" count="1" selected="0">
            <x v="0"/>
          </reference>
          <reference field="18" count="1" selected="0">
            <x v="4"/>
          </reference>
        </references>
      </pivotArea>
    </format>
    <format dxfId="437">
      <pivotArea dataOnly="0" labelOnly="1" outline="0" fieldPosition="0">
        <references count="6">
          <reference field="0" count="1" selected="0">
            <x v="72"/>
          </reference>
          <reference field="1" count="1" selected="0">
            <x v="31"/>
          </reference>
          <reference field="3" count="1" selected="0">
            <x v="48"/>
          </reference>
          <reference field="5" count="1">
            <x v="4"/>
          </reference>
          <reference field="16" count="1" selected="0">
            <x v="1"/>
          </reference>
          <reference field="18" count="1" selected="0">
            <x v="0"/>
          </reference>
        </references>
      </pivotArea>
    </format>
    <format dxfId="436">
      <pivotArea dataOnly="0" labelOnly="1" outline="0" fieldPosition="0">
        <references count="6">
          <reference field="0" count="1" selected="0">
            <x v="73"/>
          </reference>
          <reference field="1" count="1" selected="0">
            <x v="23"/>
          </reference>
          <reference field="3" count="1" selected="0">
            <x v="8"/>
          </reference>
          <reference field="5" count="1">
            <x v="4"/>
          </reference>
          <reference field="16" count="1" selected="0">
            <x v="1"/>
          </reference>
          <reference field="18" count="1" selected="0">
            <x v="0"/>
          </reference>
        </references>
      </pivotArea>
    </format>
    <format dxfId="435">
      <pivotArea dataOnly="0" labelOnly="1" outline="0" fieldPosition="0">
        <references count="1">
          <reference field="0" count="1">
            <x v="0"/>
          </reference>
        </references>
      </pivotArea>
    </format>
    <format dxfId="434">
      <pivotArea dataOnly="0" labelOnly="1" outline="0" fieldPosition="0">
        <references count="1">
          <reference field="0" count="1">
            <x v="1"/>
          </reference>
        </references>
      </pivotArea>
    </format>
    <format dxfId="433">
      <pivotArea dataOnly="0" labelOnly="1" outline="0" fieldPosition="0">
        <references count="1">
          <reference field="0" count="1">
            <x v="2"/>
          </reference>
        </references>
      </pivotArea>
    </format>
    <format dxfId="432">
      <pivotArea dataOnly="0" labelOnly="1" outline="0" fieldPosition="0">
        <references count="1">
          <reference field="0" count="1">
            <x v="3"/>
          </reference>
        </references>
      </pivotArea>
    </format>
    <format dxfId="431">
      <pivotArea dataOnly="0" labelOnly="1" outline="0" fieldPosition="0">
        <references count="1">
          <reference field="0" count="1">
            <x v="4"/>
          </reference>
        </references>
      </pivotArea>
    </format>
    <format dxfId="430">
      <pivotArea dataOnly="0" labelOnly="1" outline="0" fieldPosition="0">
        <references count="1">
          <reference field="0" count="1">
            <x v="5"/>
          </reference>
        </references>
      </pivotArea>
    </format>
    <format dxfId="429">
      <pivotArea dataOnly="0" labelOnly="1" outline="0" fieldPosition="0">
        <references count="1">
          <reference field="0" count="1">
            <x v="6"/>
          </reference>
        </references>
      </pivotArea>
    </format>
    <format dxfId="428">
      <pivotArea dataOnly="0" labelOnly="1" outline="0" fieldPosition="0">
        <references count="1">
          <reference field="0" count="1">
            <x v="7"/>
          </reference>
        </references>
      </pivotArea>
    </format>
    <format dxfId="427">
      <pivotArea dataOnly="0" labelOnly="1" outline="0" fieldPosition="0">
        <references count="1">
          <reference field="0" count="1">
            <x v="8"/>
          </reference>
        </references>
      </pivotArea>
    </format>
    <format dxfId="426">
      <pivotArea dataOnly="0" labelOnly="1" outline="0" fieldPosition="0">
        <references count="1">
          <reference field="0" count="1">
            <x v="9"/>
          </reference>
        </references>
      </pivotArea>
    </format>
    <format dxfId="425">
      <pivotArea dataOnly="0" labelOnly="1" outline="0" fieldPosition="0">
        <references count="1">
          <reference field="0" count="1">
            <x v="10"/>
          </reference>
        </references>
      </pivotArea>
    </format>
    <format dxfId="424">
      <pivotArea dataOnly="0" labelOnly="1" outline="0" fieldPosition="0">
        <references count="1">
          <reference field="0" count="1">
            <x v="11"/>
          </reference>
        </references>
      </pivotArea>
    </format>
    <format dxfId="423">
      <pivotArea dataOnly="0" labelOnly="1" outline="0" fieldPosition="0">
        <references count="1">
          <reference field="0" count="1">
            <x v="12"/>
          </reference>
        </references>
      </pivotArea>
    </format>
    <format dxfId="422">
      <pivotArea dataOnly="0" labelOnly="1" outline="0" fieldPosition="0">
        <references count="1">
          <reference field="0" count="1">
            <x v="13"/>
          </reference>
        </references>
      </pivotArea>
    </format>
    <format dxfId="421">
      <pivotArea dataOnly="0" labelOnly="1" outline="0" fieldPosition="0">
        <references count="1">
          <reference field="0" count="1">
            <x v="14"/>
          </reference>
        </references>
      </pivotArea>
    </format>
    <format dxfId="420">
      <pivotArea dataOnly="0" labelOnly="1" outline="0" fieldPosition="0">
        <references count="1">
          <reference field="0" count="1">
            <x v="15"/>
          </reference>
        </references>
      </pivotArea>
    </format>
    <format dxfId="419">
      <pivotArea dataOnly="0" labelOnly="1" outline="0" fieldPosition="0">
        <references count="1">
          <reference field="0" count="1">
            <x v="16"/>
          </reference>
        </references>
      </pivotArea>
    </format>
    <format dxfId="418">
      <pivotArea dataOnly="0" labelOnly="1" outline="0" fieldPosition="0">
        <references count="1">
          <reference field="0" count="1">
            <x v="17"/>
          </reference>
        </references>
      </pivotArea>
    </format>
    <format dxfId="417">
      <pivotArea dataOnly="0" labelOnly="1" outline="0" fieldPosition="0">
        <references count="1">
          <reference field="0" count="1">
            <x v="18"/>
          </reference>
        </references>
      </pivotArea>
    </format>
    <format dxfId="416">
      <pivotArea dataOnly="0" labelOnly="1" outline="0" fieldPosition="0">
        <references count="1">
          <reference field="0" count="1">
            <x v="19"/>
          </reference>
        </references>
      </pivotArea>
    </format>
    <format dxfId="415">
      <pivotArea dataOnly="0" labelOnly="1" outline="0" fieldPosition="0">
        <references count="1">
          <reference field="0" count="1">
            <x v="20"/>
          </reference>
        </references>
      </pivotArea>
    </format>
    <format dxfId="414">
      <pivotArea dataOnly="0" labelOnly="1" outline="0" fieldPosition="0">
        <references count="1">
          <reference field="0" count="1">
            <x v="21"/>
          </reference>
        </references>
      </pivotArea>
    </format>
    <format dxfId="413">
      <pivotArea dataOnly="0" labelOnly="1" outline="0" fieldPosition="0">
        <references count="1">
          <reference field="0" count="1">
            <x v="22"/>
          </reference>
        </references>
      </pivotArea>
    </format>
    <format dxfId="412">
      <pivotArea dataOnly="0" labelOnly="1" outline="0" fieldPosition="0">
        <references count="1">
          <reference field="0" count="1">
            <x v="23"/>
          </reference>
        </references>
      </pivotArea>
    </format>
    <format dxfId="411">
      <pivotArea dataOnly="0" labelOnly="1" outline="0" fieldPosition="0">
        <references count="1">
          <reference field="0" count="1">
            <x v="24"/>
          </reference>
        </references>
      </pivotArea>
    </format>
    <format dxfId="410">
      <pivotArea dataOnly="0" labelOnly="1" outline="0" fieldPosition="0">
        <references count="1">
          <reference field="0" count="1">
            <x v="25"/>
          </reference>
        </references>
      </pivotArea>
    </format>
    <format dxfId="409">
      <pivotArea dataOnly="0" labelOnly="1" outline="0" fieldPosition="0">
        <references count="1">
          <reference field="0" count="1">
            <x v="26"/>
          </reference>
        </references>
      </pivotArea>
    </format>
    <format dxfId="408">
      <pivotArea dataOnly="0" labelOnly="1" outline="0" fieldPosition="0">
        <references count="1">
          <reference field="0" count="1">
            <x v="27"/>
          </reference>
        </references>
      </pivotArea>
    </format>
    <format dxfId="407">
      <pivotArea dataOnly="0" labelOnly="1" outline="0" fieldPosition="0">
        <references count="1">
          <reference field="0" count="1">
            <x v="28"/>
          </reference>
        </references>
      </pivotArea>
    </format>
    <format dxfId="406">
      <pivotArea dataOnly="0" labelOnly="1" outline="0" fieldPosition="0">
        <references count="1">
          <reference field="0" count="1">
            <x v="29"/>
          </reference>
        </references>
      </pivotArea>
    </format>
    <format dxfId="405">
      <pivotArea dataOnly="0" labelOnly="1" outline="0" fieldPosition="0">
        <references count="1">
          <reference field="0" count="1">
            <x v="30"/>
          </reference>
        </references>
      </pivotArea>
    </format>
    <format dxfId="404">
      <pivotArea dataOnly="0" labelOnly="1" outline="0" fieldPosition="0">
        <references count="1">
          <reference field="0" count="1">
            <x v="31"/>
          </reference>
        </references>
      </pivotArea>
    </format>
    <format dxfId="403">
      <pivotArea dataOnly="0" labelOnly="1" outline="0" fieldPosition="0">
        <references count="1">
          <reference field="0" count="1">
            <x v="32"/>
          </reference>
        </references>
      </pivotArea>
    </format>
    <format dxfId="402">
      <pivotArea dataOnly="0" labelOnly="1" outline="0" fieldPosition="0">
        <references count="1">
          <reference field="0" count="1">
            <x v="33"/>
          </reference>
        </references>
      </pivotArea>
    </format>
    <format dxfId="401">
      <pivotArea dataOnly="0" labelOnly="1" outline="0" fieldPosition="0">
        <references count="1">
          <reference field="0" count="1">
            <x v="34"/>
          </reference>
        </references>
      </pivotArea>
    </format>
    <format dxfId="400">
      <pivotArea dataOnly="0" labelOnly="1" outline="0" fieldPosition="0">
        <references count="1">
          <reference field="0" count="1">
            <x v="35"/>
          </reference>
        </references>
      </pivotArea>
    </format>
    <format dxfId="399">
      <pivotArea dataOnly="0" labelOnly="1" outline="0" fieldPosition="0">
        <references count="1">
          <reference field="0" count="1">
            <x v="36"/>
          </reference>
        </references>
      </pivotArea>
    </format>
    <format dxfId="398">
      <pivotArea dataOnly="0" labelOnly="1" outline="0" fieldPosition="0">
        <references count="1">
          <reference field="0" count="1">
            <x v="37"/>
          </reference>
        </references>
      </pivotArea>
    </format>
    <format dxfId="397">
      <pivotArea dataOnly="0" labelOnly="1" outline="0" fieldPosition="0">
        <references count="1">
          <reference field="0" count="1">
            <x v="38"/>
          </reference>
        </references>
      </pivotArea>
    </format>
    <format dxfId="396">
      <pivotArea dataOnly="0" labelOnly="1" outline="0" fieldPosition="0">
        <references count="1">
          <reference field="0" count="1">
            <x v="39"/>
          </reference>
        </references>
      </pivotArea>
    </format>
    <format dxfId="395">
      <pivotArea dataOnly="0" labelOnly="1" outline="0" fieldPosition="0">
        <references count="1">
          <reference field="0" count="1">
            <x v="40"/>
          </reference>
        </references>
      </pivotArea>
    </format>
    <format dxfId="394">
      <pivotArea dataOnly="0" labelOnly="1" outline="0" fieldPosition="0">
        <references count="1">
          <reference field="0" count="1">
            <x v="41"/>
          </reference>
        </references>
      </pivotArea>
    </format>
    <format dxfId="393">
      <pivotArea dataOnly="0" labelOnly="1" outline="0" fieldPosition="0">
        <references count="1">
          <reference field="0" count="1">
            <x v="42"/>
          </reference>
        </references>
      </pivotArea>
    </format>
    <format dxfId="392">
      <pivotArea dataOnly="0" labelOnly="1" outline="0" fieldPosition="0">
        <references count="1">
          <reference field="0" count="1">
            <x v="43"/>
          </reference>
        </references>
      </pivotArea>
    </format>
    <format dxfId="391">
      <pivotArea dataOnly="0" labelOnly="1" outline="0" fieldPosition="0">
        <references count="1">
          <reference field="0" count="1">
            <x v="44"/>
          </reference>
        </references>
      </pivotArea>
    </format>
    <format dxfId="390">
      <pivotArea dataOnly="0" labelOnly="1" outline="0" fieldPosition="0">
        <references count="1">
          <reference field="0" count="1">
            <x v="45"/>
          </reference>
        </references>
      </pivotArea>
    </format>
    <format dxfId="389">
      <pivotArea dataOnly="0" labelOnly="1" outline="0" fieldPosition="0">
        <references count="1">
          <reference field="0" count="1">
            <x v="46"/>
          </reference>
        </references>
      </pivotArea>
    </format>
    <format dxfId="388">
      <pivotArea dataOnly="0" labelOnly="1" outline="0" fieldPosition="0">
        <references count="1">
          <reference field="0" count="1">
            <x v="47"/>
          </reference>
        </references>
      </pivotArea>
    </format>
    <format dxfId="387">
      <pivotArea dataOnly="0" labelOnly="1" outline="0" fieldPosition="0">
        <references count="1">
          <reference field="0" count="1">
            <x v="48"/>
          </reference>
        </references>
      </pivotArea>
    </format>
    <format dxfId="386">
      <pivotArea dataOnly="0" labelOnly="1" outline="0" fieldPosition="0">
        <references count="1">
          <reference field="0" count="1">
            <x v="49"/>
          </reference>
        </references>
      </pivotArea>
    </format>
    <format dxfId="385">
      <pivotArea dataOnly="0" labelOnly="1" outline="0" fieldPosition="0">
        <references count="1">
          <reference field="0" count="1">
            <x v="50"/>
          </reference>
        </references>
      </pivotArea>
    </format>
    <format dxfId="384">
      <pivotArea dataOnly="0" labelOnly="1" outline="0" fieldPosition="0">
        <references count="1">
          <reference field="0" count="1">
            <x v="51"/>
          </reference>
        </references>
      </pivotArea>
    </format>
    <format dxfId="383">
      <pivotArea dataOnly="0" labelOnly="1" outline="0" fieldPosition="0">
        <references count="1">
          <reference field="0" count="1">
            <x v="52"/>
          </reference>
        </references>
      </pivotArea>
    </format>
    <format dxfId="382">
      <pivotArea dataOnly="0" labelOnly="1" outline="0" fieldPosition="0">
        <references count="1">
          <reference field="0" count="1">
            <x v="53"/>
          </reference>
        </references>
      </pivotArea>
    </format>
    <format dxfId="381">
      <pivotArea dataOnly="0" labelOnly="1" outline="0" fieldPosition="0">
        <references count="1">
          <reference field="0" count="1">
            <x v="54"/>
          </reference>
        </references>
      </pivotArea>
    </format>
    <format dxfId="380">
      <pivotArea dataOnly="0" labelOnly="1" outline="0" fieldPosition="0">
        <references count="1">
          <reference field="0" count="1">
            <x v="55"/>
          </reference>
        </references>
      </pivotArea>
    </format>
    <format dxfId="379">
      <pivotArea dataOnly="0" labelOnly="1" outline="0" fieldPosition="0">
        <references count="1">
          <reference field="0" count="1">
            <x v="56"/>
          </reference>
        </references>
      </pivotArea>
    </format>
    <format dxfId="378">
      <pivotArea dataOnly="0" labelOnly="1" outline="0" fieldPosition="0">
        <references count="1">
          <reference field="0" count="1">
            <x v="57"/>
          </reference>
        </references>
      </pivotArea>
    </format>
    <format dxfId="377">
      <pivotArea dataOnly="0" labelOnly="1" outline="0" fieldPosition="0">
        <references count="1">
          <reference field="0" count="1">
            <x v="58"/>
          </reference>
        </references>
      </pivotArea>
    </format>
    <format dxfId="376">
      <pivotArea dataOnly="0" labelOnly="1" outline="0" fieldPosition="0">
        <references count="1">
          <reference field="0" count="1">
            <x v="59"/>
          </reference>
        </references>
      </pivotArea>
    </format>
    <format dxfId="375">
      <pivotArea dataOnly="0" labelOnly="1" outline="0" fieldPosition="0">
        <references count="1">
          <reference field="0" count="1">
            <x v="60"/>
          </reference>
        </references>
      </pivotArea>
    </format>
    <format dxfId="374">
      <pivotArea dataOnly="0" labelOnly="1" outline="0" fieldPosition="0">
        <references count="1">
          <reference field="0" count="1">
            <x v="61"/>
          </reference>
        </references>
      </pivotArea>
    </format>
    <format dxfId="373">
      <pivotArea dataOnly="0" labelOnly="1" outline="0" fieldPosition="0">
        <references count="1">
          <reference field="0" count="1">
            <x v="62"/>
          </reference>
        </references>
      </pivotArea>
    </format>
    <format dxfId="372">
      <pivotArea dataOnly="0" labelOnly="1" outline="0" fieldPosition="0">
        <references count="1">
          <reference field="0" count="1">
            <x v="63"/>
          </reference>
        </references>
      </pivotArea>
    </format>
    <format dxfId="371">
      <pivotArea dataOnly="0" labelOnly="1" outline="0" fieldPosition="0">
        <references count="1">
          <reference field="0" count="1">
            <x v="64"/>
          </reference>
        </references>
      </pivotArea>
    </format>
    <format dxfId="370">
      <pivotArea dataOnly="0" labelOnly="1" outline="0" fieldPosition="0">
        <references count="1">
          <reference field="0" count="1">
            <x v="65"/>
          </reference>
        </references>
      </pivotArea>
    </format>
    <format dxfId="369">
      <pivotArea dataOnly="0" labelOnly="1" outline="0" fieldPosition="0">
        <references count="1">
          <reference field="0" count="1">
            <x v="66"/>
          </reference>
        </references>
      </pivotArea>
    </format>
    <format dxfId="368">
      <pivotArea dataOnly="0" labelOnly="1" outline="0" fieldPosition="0">
        <references count="1">
          <reference field="0" count="1">
            <x v="67"/>
          </reference>
        </references>
      </pivotArea>
    </format>
    <format dxfId="367">
      <pivotArea dataOnly="0" labelOnly="1" outline="0" fieldPosition="0">
        <references count="1">
          <reference field="0" count="1">
            <x v="68"/>
          </reference>
        </references>
      </pivotArea>
    </format>
    <format dxfId="366">
      <pivotArea dataOnly="0" labelOnly="1" outline="0" fieldPosition="0">
        <references count="1">
          <reference field="0" count="1">
            <x v="69"/>
          </reference>
        </references>
      </pivotArea>
    </format>
    <format dxfId="365">
      <pivotArea dataOnly="0" labelOnly="1" outline="0" fieldPosition="0">
        <references count="1">
          <reference field="0" count="1">
            <x v="70"/>
          </reference>
        </references>
      </pivotArea>
    </format>
    <format dxfId="364">
      <pivotArea dataOnly="0" labelOnly="1" outline="0" fieldPosition="0">
        <references count="1">
          <reference field="0" count="1">
            <x v="71"/>
          </reference>
        </references>
      </pivotArea>
    </format>
    <format dxfId="363">
      <pivotArea dataOnly="0" labelOnly="1" outline="0" fieldPosition="0">
        <references count="1">
          <reference field="0" count="1">
            <x v="72"/>
          </reference>
        </references>
      </pivotArea>
    </format>
    <format dxfId="362">
      <pivotArea dataOnly="0" labelOnly="1" outline="0" fieldPosition="0">
        <references count="1">
          <reference field="0" count="1">
            <x v="73"/>
          </reference>
        </references>
      </pivotArea>
    </format>
    <format dxfId="361">
      <pivotArea field="0" type="button" dataOnly="0" labelOnly="1" outline="0" axis="axisRow" fieldPosition="0"/>
    </format>
    <format dxfId="360">
      <pivotArea field="1" type="button" dataOnly="0" labelOnly="1" outline="0" axis="axisRow" fieldPosition="1"/>
    </format>
    <format dxfId="359">
      <pivotArea field="3" type="button" dataOnly="0" labelOnly="1" outline="0" axis="axisRow" fieldPosition="2"/>
    </format>
    <format dxfId="358">
      <pivotArea field="16" type="button" dataOnly="0" labelOnly="1" outline="0" axis="axisRow" fieldPosition="3"/>
    </format>
    <format dxfId="357">
      <pivotArea field="18" type="button" dataOnly="0" labelOnly="1" outline="0" axis="axisRow" fieldPosition="4"/>
    </format>
    <format dxfId="356">
      <pivotArea field="5" type="button" dataOnly="0" labelOnly="1" outline="0" axis="axisRow" fieldPosition="5"/>
    </format>
    <format dxfId="355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354">
      <pivotArea field="0" type="button" dataOnly="0" labelOnly="1" outline="0" axis="axisRow" fieldPosition="0"/>
    </format>
    <format dxfId="353">
      <pivotArea field="1" type="button" dataOnly="0" labelOnly="1" outline="0" axis="axisRow" fieldPosition="1"/>
    </format>
    <format dxfId="352">
      <pivotArea field="3" type="button" dataOnly="0" labelOnly="1" outline="0" axis="axisRow" fieldPosition="2"/>
    </format>
    <format dxfId="351">
      <pivotArea field="16" type="button" dataOnly="0" labelOnly="1" outline="0" axis="axisRow" fieldPosition="3"/>
    </format>
    <format dxfId="350">
      <pivotArea field="18" type="button" dataOnly="0" labelOnly="1" outline="0" axis="axisRow" fieldPosition="4"/>
    </format>
    <format dxfId="349">
      <pivotArea field="5" type="button" dataOnly="0" labelOnly="1" outline="0" axis="axisRow" fieldPosition="5"/>
    </format>
    <format dxfId="348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347">
      <pivotArea field="0" type="button" dataOnly="0" labelOnly="1" outline="0" axis="axisRow" fieldPosition="0"/>
    </format>
    <format dxfId="346">
      <pivotArea field="1" type="button" dataOnly="0" labelOnly="1" outline="0" axis="axisRow" fieldPosition="1"/>
    </format>
    <format dxfId="345">
      <pivotArea field="3" type="button" dataOnly="0" labelOnly="1" outline="0" axis="axisRow" fieldPosition="2"/>
    </format>
    <format dxfId="344">
      <pivotArea field="16" type="button" dataOnly="0" labelOnly="1" outline="0" axis="axisRow" fieldPosition="3"/>
    </format>
    <format dxfId="343">
      <pivotArea field="18" type="button" dataOnly="0" labelOnly="1" outline="0" axis="axisRow" fieldPosition="4"/>
    </format>
    <format dxfId="342">
      <pivotArea field="5" type="button" dataOnly="0" labelOnly="1" outline="0" axis="axisRow" fieldPosition="5"/>
    </format>
    <format dxfId="341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340">
      <pivotArea field="0" type="button" dataOnly="0" labelOnly="1" outline="0" axis="axisRow" fieldPosition="0"/>
    </format>
    <format dxfId="339">
      <pivotArea field="1" type="button" dataOnly="0" labelOnly="1" outline="0" axis="axisRow" fieldPosition="1"/>
    </format>
    <format dxfId="338">
      <pivotArea field="3" type="button" dataOnly="0" labelOnly="1" outline="0" axis="axisRow" fieldPosition="2"/>
    </format>
    <format dxfId="337">
      <pivotArea field="16" type="button" dataOnly="0" labelOnly="1" outline="0" axis="axisRow" fieldPosition="3"/>
    </format>
    <format dxfId="336">
      <pivotArea field="18" type="button" dataOnly="0" labelOnly="1" outline="0" axis="axisRow" fieldPosition="4"/>
    </format>
    <format dxfId="335">
      <pivotArea field="5" type="button" dataOnly="0" labelOnly="1" outline="0" axis="axisRow" fieldPosition="5"/>
    </format>
    <format dxfId="334">
      <pivotArea outline="0" collapsedLevelsAreSubtotals="1" fieldPosition="0"/>
    </format>
    <format dxfId="333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332">
      <pivotArea field="3" type="button" dataOnly="0" labelOnly="1" outline="0" axis="axisRow" fieldPosition="2"/>
    </format>
    <format dxfId="331">
      <pivotArea field="3" type="button" dataOnly="0" labelOnly="1" outline="0" axis="axisRow" fieldPosition="2"/>
    </format>
    <format dxfId="330">
      <pivotArea dataOnly="0" labelOnly="1" fieldPosition="0">
        <references count="1">
          <reference field="5" count="0"/>
        </references>
      </pivotArea>
    </format>
    <format dxfId="329">
      <pivotArea field="5" type="button" dataOnly="0" labelOnly="1" outline="0" axis="axisRow" fieldPosition="5"/>
    </format>
    <format dxfId="328">
      <pivotArea dataOnly="0" labelOnly="1" outline="0" fieldPosition="0">
        <references count="1">
          <reference field="0" count="1">
            <x v="0"/>
          </reference>
        </references>
      </pivotArea>
    </format>
    <format dxfId="327">
      <pivotArea dataOnly="0" labelOnly="1" outline="0" fieldPosition="0">
        <references count="1">
          <reference field="0" count="1">
            <x v="1"/>
          </reference>
        </references>
      </pivotArea>
    </format>
    <format dxfId="326">
      <pivotArea dataOnly="0" labelOnly="1" outline="0" fieldPosition="0">
        <references count="1">
          <reference field="0" count="1">
            <x v="2"/>
          </reference>
        </references>
      </pivotArea>
    </format>
    <format dxfId="325">
      <pivotArea dataOnly="0" labelOnly="1" outline="0" fieldPosition="0">
        <references count="1">
          <reference field="0" count="1">
            <x v="3"/>
          </reference>
        </references>
      </pivotArea>
    </format>
    <format dxfId="324">
      <pivotArea dataOnly="0" labelOnly="1" outline="0" fieldPosition="0">
        <references count="1">
          <reference field="0" count="1">
            <x v="4"/>
          </reference>
        </references>
      </pivotArea>
    </format>
    <format dxfId="323">
      <pivotArea dataOnly="0" labelOnly="1" outline="0" fieldPosition="0">
        <references count="1">
          <reference field="0" count="1">
            <x v="5"/>
          </reference>
        </references>
      </pivotArea>
    </format>
    <format dxfId="322">
      <pivotArea dataOnly="0" labelOnly="1" outline="0" fieldPosition="0">
        <references count="1">
          <reference field="0" count="1">
            <x v="6"/>
          </reference>
        </references>
      </pivotArea>
    </format>
    <format dxfId="321">
      <pivotArea dataOnly="0" labelOnly="1" outline="0" fieldPosition="0">
        <references count="1">
          <reference field="0" count="1">
            <x v="7"/>
          </reference>
        </references>
      </pivotArea>
    </format>
    <format dxfId="320">
      <pivotArea dataOnly="0" labelOnly="1" outline="0" fieldPosition="0">
        <references count="1">
          <reference field="0" count="1">
            <x v="8"/>
          </reference>
        </references>
      </pivotArea>
    </format>
    <format dxfId="319">
      <pivotArea dataOnly="0" labelOnly="1" outline="0" fieldPosition="0">
        <references count="1">
          <reference field="0" count="1">
            <x v="9"/>
          </reference>
        </references>
      </pivotArea>
    </format>
    <format dxfId="318">
      <pivotArea dataOnly="0" labelOnly="1" outline="0" fieldPosition="0">
        <references count="1">
          <reference field="0" count="1">
            <x v="10"/>
          </reference>
        </references>
      </pivotArea>
    </format>
    <format dxfId="317">
      <pivotArea dataOnly="0" labelOnly="1" outline="0" fieldPosition="0">
        <references count="1">
          <reference field="0" count="1">
            <x v="11"/>
          </reference>
        </references>
      </pivotArea>
    </format>
    <format dxfId="316">
      <pivotArea dataOnly="0" labelOnly="1" outline="0" fieldPosition="0">
        <references count="1">
          <reference field="0" count="1">
            <x v="12"/>
          </reference>
        </references>
      </pivotArea>
    </format>
    <format dxfId="315">
      <pivotArea dataOnly="0" labelOnly="1" outline="0" fieldPosition="0">
        <references count="1">
          <reference field="0" count="1">
            <x v="13"/>
          </reference>
        </references>
      </pivotArea>
    </format>
    <format dxfId="314">
      <pivotArea dataOnly="0" labelOnly="1" outline="0" fieldPosition="0">
        <references count="1">
          <reference field="0" count="1">
            <x v="14"/>
          </reference>
        </references>
      </pivotArea>
    </format>
    <format dxfId="313">
      <pivotArea dataOnly="0" labelOnly="1" outline="0" fieldPosition="0">
        <references count="1">
          <reference field="0" count="1">
            <x v="15"/>
          </reference>
        </references>
      </pivotArea>
    </format>
    <format dxfId="312">
      <pivotArea dataOnly="0" labelOnly="1" outline="0" fieldPosition="0">
        <references count="1">
          <reference field="0" count="1">
            <x v="16"/>
          </reference>
        </references>
      </pivotArea>
    </format>
    <format dxfId="311">
      <pivotArea dataOnly="0" labelOnly="1" outline="0" fieldPosition="0">
        <references count="1">
          <reference field="0" count="1">
            <x v="17"/>
          </reference>
        </references>
      </pivotArea>
    </format>
    <format dxfId="310">
      <pivotArea dataOnly="0" labelOnly="1" outline="0" fieldPosition="0">
        <references count="1">
          <reference field="0" count="1">
            <x v="18"/>
          </reference>
        </references>
      </pivotArea>
    </format>
    <format dxfId="309">
      <pivotArea dataOnly="0" labelOnly="1" outline="0" fieldPosition="0">
        <references count="1">
          <reference field="0" count="1">
            <x v="19"/>
          </reference>
        </references>
      </pivotArea>
    </format>
    <format dxfId="308">
      <pivotArea dataOnly="0" labelOnly="1" outline="0" fieldPosition="0">
        <references count="1">
          <reference field="0" count="1">
            <x v="20"/>
          </reference>
        </references>
      </pivotArea>
    </format>
    <format dxfId="307">
      <pivotArea dataOnly="0" labelOnly="1" outline="0" fieldPosition="0">
        <references count="1">
          <reference field="0" count="1">
            <x v="21"/>
          </reference>
        </references>
      </pivotArea>
    </format>
    <format dxfId="306">
      <pivotArea dataOnly="0" labelOnly="1" outline="0" fieldPosition="0">
        <references count="1">
          <reference field="0" count="1">
            <x v="22"/>
          </reference>
        </references>
      </pivotArea>
    </format>
    <format dxfId="305">
      <pivotArea dataOnly="0" labelOnly="1" outline="0" fieldPosition="0">
        <references count="1">
          <reference field="0" count="1">
            <x v="23"/>
          </reference>
        </references>
      </pivotArea>
    </format>
    <format dxfId="304">
      <pivotArea dataOnly="0" labelOnly="1" outline="0" fieldPosition="0">
        <references count="1">
          <reference field="0" count="1">
            <x v="24"/>
          </reference>
        </references>
      </pivotArea>
    </format>
    <format dxfId="303">
      <pivotArea dataOnly="0" labelOnly="1" outline="0" fieldPosition="0">
        <references count="1">
          <reference field="0" count="1">
            <x v="25"/>
          </reference>
        </references>
      </pivotArea>
    </format>
    <format dxfId="302">
      <pivotArea dataOnly="0" labelOnly="1" outline="0" fieldPosition="0">
        <references count="1">
          <reference field="0" count="1">
            <x v="26"/>
          </reference>
        </references>
      </pivotArea>
    </format>
    <format dxfId="301">
      <pivotArea dataOnly="0" labelOnly="1" outline="0" fieldPosition="0">
        <references count="1">
          <reference field="0" count="1">
            <x v="27"/>
          </reference>
        </references>
      </pivotArea>
    </format>
    <format dxfId="300">
      <pivotArea dataOnly="0" labelOnly="1" outline="0" fieldPosition="0">
        <references count="1">
          <reference field="0" count="1">
            <x v="28"/>
          </reference>
        </references>
      </pivotArea>
    </format>
    <format dxfId="299">
      <pivotArea dataOnly="0" labelOnly="1" outline="0" fieldPosition="0">
        <references count="1">
          <reference field="0" count="1">
            <x v="29"/>
          </reference>
        </references>
      </pivotArea>
    </format>
    <format dxfId="298">
      <pivotArea dataOnly="0" labelOnly="1" outline="0" fieldPosition="0">
        <references count="1">
          <reference field="0" count="1">
            <x v="30"/>
          </reference>
        </references>
      </pivotArea>
    </format>
    <format dxfId="297">
      <pivotArea dataOnly="0" labelOnly="1" outline="0" fieldPosition="0">
        <references count="1">
          <reference field="0" count="1">
            <x v="31"/>
          </reference>
        </references>
      </pivotArea>
    </format>
    <format dxfId="296">
      <pivotArea dataOnly="0" labelOnly="1" outline="0" fieldPosition="0">
        <references count="1">
          <reference field="0" count="1">
            <x v="32"/>
          </reference>
        </references>
      </pivotArea>
    </format>
    <format dxfId="295">
      <pivotArea dataOnly="0" labelOnly="1" outline="0" fieldPosition="0">
        <references count="1">
          <reference field="0" count="1">
            <x v="33"/>
          </reference>
        </references>
      </pivotArea>
    </format>
    <format dxfId="294">
      <pivotArea dataOnly="0" labelOnly="1" outline="0" fieldPosition="0">
        <references count="1">
          <reference field="0" count="1">
            <x v="34"/>
          </reference>
        </references>
      </pivotArea>
    </format>
    <format dxfId="293">
      <pivotArea dataOnly="0" labelOnly="1" outline="0" fieldPosition="0">
        <references count="1">
          <reference field="0" count="1">
            <x v="35"/>
          </reference>
        </references>
      </pivotArea>
    </format>
    <format dxfId="292">
      <pivotArea dataOnly="0" labelOnly="1" outline="0" fieldPosition="0">
        <references count="1">
          <reference field="0" count="1">
            <x v="36"/>
          </reference>
        </references>
      </pivotArea>
    </format>
    <format dxfId="291">
      <pivotArea dataOnly="0" labelOnly="1" outline="0" fieldPosition="0">
        <references count="1">
          <reference field="0" count="1">
            <x v="37"/>
          </reference>
        </references>
      </pivotArea>
    </format>
    <format dxfId="290">
      <pivotArea dataOnly="0" labelOnly="1" outline="0" fieldPosition="0">
        <references count="1">
          <reference field="0" count="1">
            <x v="38"/>
          </reference>
        </references>
      </pivotArea>
    </format>
    <format dxfId="289">
      <pivotArea dataOnly="0" labelOnly="1" outline="0" fieldPosition="0">
        <references count="1">
          <reference field="0" count="1">
            <x v="39"/>
          </reference>
        </references>
      </pivotArea>
    </format>
    <format dxfId="288">
      <pivotArea dataOnly="0" labelOnly="1" outline="0" fieldPosition="0">
        <references count="1">
          <reference field="0" count="1">
            <x v="40"/>
          </reference>
        </references>
      </pivotArea>
    </format>
    <format dxfId="287">
      <pivotArea dataOnly="0" labelOnly="1" outline="0" fieldPosition="0">
        <references count="1">
          <reference field="0" count="1">
            <x v="41"/>
          </reference>
        </references>
      </pivotArea>
    </format>
    <format dxfId="286">
      <pivotArea dataOnly="0" labelOnly="1" outline="0" fieldPosition="0">
        <references count="1">
          <reference field="0" count="1">
            <x v="42"/>
          </reference>
        </references>
      </pivotArea>
    </format>
    <format dxfId="285">
      <pivotArea dataOnly="0" labelOnly="1" outline="0" fieldPosition="0">
        <references count="1">
          <reference field="0" count="1">
            <x v="43"/>
          </reference>
        </references>
      </pivotArea>
    </format>
    <format dxfId="284">
      <pivotArea dataOnly="0" labelOnly="1" outline="0" fieldPosition="0">
        <references count="1">
          <reference field="0" count="1">
            <x v="44"/>
          </reference>
        </references>
      </pivotArea>
    </format>
    <format dxfId="283">
      <pivotArea dataOnly="0" labelOnly="1" outline="0" fieldPosition="0">
        <references count="1">
          <reference field="0" count="1">
            <x v="45"/>
          </reference>
        </references>
      </pivotArea>
    </format>
    <format dxfId="282">
      <pivotArea dataOnly="0" labelOnly="1" outline="0" fieldPosition="0">
        <references count="1">
          <reference field="0" count="1">
            <x v="46"/>
          </reference>
        </references>
      </pivotArea>
    </format>
    <format dxfId="281">
      <pivotArea dataOnly="0" labelOnly="1" outline="0" fieldPosition="0">
        <references count="1">
          <reference field="0" count="1">
            <x v="47"/>
          </reference>
        </references>
      </pivotArea>
    </format>
    <format dxfId="280">
      <pivotArea dataOnly="0" labelOnly="1" outline="0" fieldPosition="0">
        <references count="1">
          <reference field="0" count="1">
            <x v="48"/>
          </reference>
        </references>
      </pivotArea>
    </format>
    <format dxfId="279">
      <pivotArea dataOnly="0" labelOnly="1" outline="0" fieldPosition="0">
        <references count="1">
          <reference field="0" count="1">
            <x v="49"/>
          </reference>
        </references>
      </pivotArea>
    </format>
    <format dxfId="278">
      <pivotArea dataOnly="0" labelOnly="1" outline="0" fieldPosition="0">
        <references count="1">
          <reference field="0" count="1">
            <x v="50"/>
          </reference>
        </references>
      </pivotArea>
    </format>
    <format dxfId="277">
      <pivotArea dataOnly="0" labelOnly="1" outline="0" fieldPosition="0">
        <references count="1">
          <reference field="0" count="1">
            <x v="51"/>
          </reference>
        </references>
      </pivotArea>
    </format>
    <format dxfId="276">
      <pivotArea dataOnly="0" labelOnly="1" outline="0" fieldPosition="0">
        <references count="1">
          <reference field="0" count="1">
            <x v="52"/>
          </reference>
        </references>
      </pivotArea>
    </format>
    <format dxfId="275">
      <pivotArea dataOnly="0" labelOnly="1" outline="0" fieldPosition="0">
        <references count="1">
          <reference field="0" count="1">
            <x v="53"/>
          </reference>
        </references>
      </pivotArea>
    </format>
    <format dxfId="274">
      <pivotArea dataOnly="0" labelOnly="1" outline="0" fieldPosition="0">
        <references count="1">
          <reference field="0" count="1">
            <x v="54"/>
          </reference>
        </references>
      </pivotArea>
    </format>
    <format dxfId="273">
      <pivotArea dataOnly="0" labelOnly="1" outline="0" fieldPosition="0">
        <references count="1">
          <reference field="0" count="1">
            <x v="55"/>
          </reference>
        </references>
      </pivotArea>
    </format>
    <format dxfId="272">
      <pivotArea dataOnly="0" labelOnly="1" outline="0" fieldPosition="0">
        <references count="1">
          <reference field="0" count="1">
            <x v="56"/>
          </reference>
        </references>
      </pivotArea>
    </format>
    <format dxfId="271">
      <pivotArea dataOnly="0" labelOnly="1" outline="0" fieldPosition="0">
        <references count="1">
          <reference field="0" count="1">
            <x v="57"/>
          </reference>
        </references>
      </pivotArea>
    </format>
    <format dxfId="270">
      <pivotArea dataOnly="0" labelOnly="1" outline="0" fieldPosition="0">
        <references count="1">
          <reference field="0" count="1">
            <x v="58"/>
          </reference>
        </references>
      </pivotArea>
    </format>
    <format dxfId="269">
      <pivotArea dataOnly="0" labelOnly="1" outline="0" fieldPosition="0">
        <references count="1">
          <reference field="0" count="1">
            <x v="59"/>
          </reference>
        </references>
      </pivotArea>
    </format>
    <format dxfId="268">
      <pivotArea dataOnly="0" labelOnly="1" outline="0" fieldPosition="0">
        <references count="1">
          <reference field="0" count="1">
            <x v="60"/>
          </reference>
        </references>
      </pivotArea>
    </format>
    <format dxfId="267">
      <pivotArea dataOnly="0" labelOnly="1" outline="0" fieldPosition="0">
        <references count="1">
          <reference field="0" count="1">
            <x v="61"/>
          </reference>
        </references>
      </pivotArea>
    </format>
    <format dxfId="266">
      <pivotArea dataOnly="0" labelOnly="1" outline="0" fieldPosition="0">
        <references count="1">
          <reference field="0" count="1">
            <x v="62"/>
          </reference>
        </references>
      </pivotArea>
    </format>
    <format dxfId="265">
      <pivotArea dataOnly="0" labelOnly="1" outline="0" fieldPosition="0">
        <references count="1">
          <reference field="0" count="1">
            <x v="63"/>
          </reference>
        </references>
      </pivotArea>
    </format>
    <format dxfId="264">
      <pivotArea dataOnly="0" labelOnly="1" outline="0" fieldPosition="0">
        <references count="1">
          <reference field="0" count="1">
            <x v="64"/>
          </reference>
        </references>
      </pivotArea>
    </format>
    <format dxfId="263">
      <pivotArea dataOnly="0" labelOnly="1" outline="0" fieldPosition="0">
        <references count="1">
          <reference field="0" count="1">
            <x v="65"/>
          </reference>
        </references>
      </pivotArea>
    </format>
    <format dxfId="262">
      <pivotArea dataOnly="0" labelOnly="1" outline="0" fieldPosition="0">
        <references count="1">
          <reference field="0" count="1">
            <x v="66"/>
          </reference>
        </references>
      </pivotArea>
    </format>
    <format dxfId="261">
      <pivotArea dataOnly="0" labelOnly="1" outline="0" fieldPosition="0">
        <references count="1">
          <reference field="0" count="1">
            <x v="67"/>
          </reference>
        </references>
      </pivotArea>
    </format>
    <format dxfId="260">
      <pivotArea dataOnly="0" labelOnly="1" outline="0" fieldPosition="0">
        <references count="1">
          <reference field="0" count="1">
            <x v="68"/>
          </reference>
        </references>
      </pivotArea>
    </format>
    <format dxfId="259">
      <pivotArea dataOnly="0" labelOnly="1" outline="0" fieldPosition="0">
        <references count="1">
          <reference field="0" count="1">
            <x v="69"/>
          </reference>
        </references>
      </pivotArea>
    </format>
    <format dxfId="258">
      <pivotArea dataOnly="0" labelOnly="1" outline="0" fieldPosition="0">
        <references count="1">
          <reference field="0" count="1">
            <x v="70"/>
          </reference>
        </references>
      </pivotArea>
    </format>
    <format dxfId="257">
      <pivotArea dataOnly="0" labelOnly="1" outline="0" fieldPosition="0">
        <references count="1">
          <reference field="0" count="1">
            <x v="71"/>
          </reference>
        </references>
      </pivotArea>
    </format>
    <format dxfId="256">
      <pivotArea dataOnly="0" labelOnly="1" outline="0" fieldPosition="0">
        <references count="1">
          <reference field="0" count="1">
            <x v="72"/>
          </reference>
        </references>
      </pivotArea>
    </format>
    <format dxfId="255">
      <pivotArea dataOnly="0" labelOnly="1" outline="0" fieldPosition="0">
        <references count="1">
          <reference field="0" count="1">
            <x v="73"/>
          </reference>
        </references>
      </pivotArea>
    </format>
    <format dxfId="254">
      <pivotArea dataOnly="0" labelOnly="1" outline="0" fieldPosition="0">
        <references count="2">
          <reference field="0" count="1" selected="0">
            <x v="0"/>
          </reference>
          <reference field="1" count="1">
            <x v="37"/>
          </reference>
        </references>
      </pivotArea>
    </format>
    <format dxfId="253">
      <pivotArea dataOnly="0" labelOnly="1" outline="0" fieldPosition="0">
        <references count="2">
          <reference field="0" count="1" selected="0">
            <x v="0"/>
          </reference>
          <reference field="1" count="1">
            <x v="54"/>
          </reference>
        </references>
      </pivotArea>
    </format>
    <format dxfId="252">
      <pivotArea dataOnly="0" labelOnly="1" outline="0" fieldPosition="0">
        <references count="2">
          <reference field="0" count="1" selected="0">
            <x v="1"/>
          </reference>
          <reference field="1" count="1">
            <x v="6"/>
          </reference>
        </references>
      </pivotArea>
    </format>
    <format dxfId="251">
      <pivotArea dataOnly="0" labelOnly="1" outline="0" fieldPosition="0">
        <references count="2">
          <reference field="0" count="1" selected="0">
            <x v="2"/>
          </reference>
          <reference field="1" count="1">
            <x v="5"/>
          </reference>
        </references>
      </pivotArea>
    </format>
    <format dxfId="250">
      <pivotArea dataOnly="0" labelOnly="1" outline="0" fieldPosition="0">
        <references count="2">
          <reference field="0" count="1" selected="0">
            <x v="3"/>
          </reference>
          <reference field="1" count="1">
            <x v="17"/>
          </reference>
        </references>
      </pivotArea>
    </format>
    <format dxfId="249">
      <pivotArea dataOnly="0" labelOnly="1" outline="0" fieldPosition="0">
        <references count="2">
          <reference field="0" count="1" selected="0">
            <x v="4"/>
          </reference>
          <reference field="1" count="1">
            <x v="1"/>
          </reference>
        </references>
      </pivotArea>
    </format>
    <format dxfId="248">
      <pivotArea dataOnly="0" labelOnly="1" outline="0" fieldPosition="0">
        <references count="2">
          <reference field="0" count="1" selected="0">
            <x v="5"/>
          </reference>
          <reference field="1" count="1">
            <x v="40"/>
          </reference>
        </references>
      </pivotArea>
    </format>
    <format dxfId="247">
      <pivotArea dataOnly="0" labelOnly="1" outline="0" fieldPosition="0">
        <references count="2">
          <reference field="0" count="1" selected="0">
            <x v="6"/>
          </reference>
          <reference field="1" count="1">
            <x v="8"/>
          </reference>
        </references>
      </pivotArea>
    </format>
    <format dxfId="246">
      <pivotArea dataOnly="0" labelOnly="1" outline="0" fieldPosition="0">
        <references count="2">
          <reference field="0" count="1" selected="0">
            <x v="7"/>
          </reference>
          <reference field="1" count="1">
            <x v="37"/>
          </reference>
        </references>
      </pivotArea>
    </format>
    <format dxfId="245">
      <pivotArea dataOnly="0" labelOnly="1" outline="0" fieldPosition="0">
        <references count="2">
          <reference field="0" count="1" selected="0">
            <x v="7"/>
          </reference>
          <reference field="1" count="1">
            <x v="55"/>
          </reference>
        </references>
      </pivotArea>
    </format>
    <format dxfId="244">
      <pivotArea dataOnly="0" labelOnly="1" outline="0" fieldPosition="0">
        <references count="2">
          <reference field="0" count="1" selected="0">
            <x v="7"/>
          </reference>
          <reference field="1" count="1">
            <x v="60"/>
          </reference>
        </references>
      </pivotArea>
    </format>
    <format dxfId="243">
      <pivotArea dataOnly="0" labelOnly="1" outline="0" fieldPosition="0">
        <references count="2">
          <reference field="0" count="1" selected="0">
            <x v="7"/>
          </reference>
          <reference field="1" count="1">
            <x v="65"/>
          </reference>
        </references>
      </pivotArea>
    </format>
    <format dxfId="242">
      <pivotArea dataOnly="0" labelOnly="1" outline="0" fieldPosition="0">
        <references count="2">
          <reference field="0" count="1" selected="0">
            <x v="8"/>
          </reference>
          <reference field="1" count="1">
            <x v="27"/>
          </reference>
        </references>
      </pivotArea>
    </format>
    <format dxfId="241">
      <pivotArea dataOnly="0" labelOnly="1" outline="0" fieldPosition="0">
        <references count="2">
          <reference field="0" count="1" selected="0">
            <x v="9"/>
          </reference>
          <reference field="1" count="1">
            <x v="3"/>
          </reference>
        </references>
      </pivotArea>
    </format>
    <format dxfId="240">
      <pivotArea dataOnly="0" labelOnly="1" outline="0" fieldPosition="0">
        <references count="2">
          <reference field="0" count="1" selected="0">
            <x v="10"/>
          </reference>
          <reference field="1" count="1">
            <x v="38"/>
          </reference>
        </references>
      </pivotArea>
    </format>
    <format dxfId="239">
      <pivotArea dataOnly="0" labelOnly="1" outline="0" fieldPosition="0">
        <references count="2">
          <reference field="0" count="1" selected="0">
            <x v="11"/>
          </reference>
          <reference field="1" count="1">
            <x v="23"/>
          </reference>
        </references>
      </pivotArea>
    </format>
    <format dxfId="238">
      <pivotArea dataOnly="0" labelOnly="1" outline="0" fieldPosition="0">
        <references count="2">
          <reference field="0" count="1" selected="0">
            <x v="12"/>
          </reference>
          <reference field="1" count="1">
            <x v="47"/>
          </reference>
        </references>
      </pivotArea>
    </format>
    <format dxfId="237">
      <pivotArea dataOnly="0" labelOnly="1" outline="0" fieldPosition="0">
        <references count="2">
          <reference field="0" count="1" selected="0">
            <x v="12"/>
          </reference>
          <reference field="1" count="1">
            <x v="52"/>
          </reference>
        </references>
      </pivotArea>
    </format>
    <format dxfId="236">
      <pivotArea dataOnly="0" labelOnly="1" outline="0" fieldPosition="0">
        <references count="2">
          <reference field="0" count="1" selected="0">
            <x v="12"/>
          </reference>
          <reference field="1" count="1">
            <x v="58"/>
          </reference>
        </references>
      </pivotArea>
    </format>
    <format dxfId="235">
      <pivotArea dataOnly="0" labelOnly="1" outline="0" fieldPosition="0">
        <references count="2">
          <reference field="0" count="1" selected="0">
            <x v="12"/>
          </reference>
          <reference field="1" count="1">
            <x v="67"/>
          </reference>
        </references>
      </pivotArea>
    </format>
    <format dxfId="234">
      <pivotArea dataOnly="0" labelOnly="1" outline="0" fieldPosition="0">
        <references count="2">
          <reference field="0" count="1" selected="0">
            <x v="12"/>
          </reference>
          <reference field="1" count="1">
            <x v="69"/>
          </reference>
        </references>
      </pivotArea>
    </format>
    <format dxfId="233">
      <pivotArea dataOnly="0" labelOnly="1" outline="0" fieldPosition="0">
        <references count="2">
          <reference field="0" count="1" selected="0">
            <x v="12"/>
          </reference>
          <reference field="1" count="1">
            <x v="73"/>
          </reference>
        </references>
      </pivotArea>
    </format>
    <format dxfId="232">
      <pivotArea dataOnly="0" labelOnly="1" outline="0" fieldPosition="0">
        <references count="2">
          <reference field="0" count="1" selected="0">
            <x v="13"/>
          </reference>
          <reference field="1" count="1">
            <x v="49"/>
          </reference>
        </references>
      </pivotArea>
    </format>
    <format dxfId="231">
      <pivotArea dataOnly="0" labelOnly="1" outline="0" fieldPosition="0">
        <references count="2">
          <reference field="0" count="1" selected="0">
            <x v="14"/>
          </reference>
          <reference field="1" count="1">
            <x v="2"/>
          </reference>
        </references>
      </pivotArea>
    </format>
    <format dxfId="230">
      <pivotArea dataOnly="0" labelOnly="1" outline="0" fieldPosition="0">
        <references count="2">
          <reference field="0" count="1" selected="0">
            <x v="15"/>
          </reference>
          <reference field="1" count="1">
            <x v="3"/>
          </reference>
        </references>
      </pivotArea>
    </format>
    <format dxfId="229">
      <pivotArea dataOnly="0" labelOnly="1" outline="0" fieldPosition="0">
        <references count="2">
          <reference field="0" count="1" selected="0">
            <x v="16"/>
          </reference>
          <reference field="1" count="1">
            <x v="16"/>
          </reference>
        </references>
      </pivotArea>
    </format>
    <format dxfId="228">
      <pivotArea dataOnly="0" labelOnly="1" outline="0" fieldPosition="0">
        <references count="2">
          <reference field="0" count="1" selected="0">
            <x v="16"/>
          </reference>
          <reference field="1" count="1">
            <x v="45"/>
          </reference>
        </references>
      </pivotArea>
    </format>
    <format dxfId="227">
      <pivotArea dataOnly="0" labelOnly="1" outline="0" fieldPosition="0">
        <references count="2">
          <reference field="0" count="1" selected="0">
            <x v="16"/>
          </reference>
          <reference field="1" count="1">
            <x v="52"/>
          </reference>
        </references>
      </pivotArea>
    </format>
    <format dxfId="226">
      <pivotArea dataOnly="0" labelOnly="1" outline="0" fieldPosition="0">
        <references count="2">
          <reference field="0" count="1" selected="0">
            <x v="17"/>
          </reference>
          <reference field="1" count="1">
            <x v="42"/>
          </reference>
        </references>
      </pivotArea>
    </format>
    <format dxfId="225">
      <pivotArea dataOnly="0" labelOnly="1" outline="0" fieldPosition="0">
        <references count="2">
          <reference field="0" count="1" selected="0">
            <x v="17"/>
          </reference>
          <reference field="1" count="1">
            <x v="61"/>
          </reference>
        </references>
      </pivotArea>
    </format>
    <format dxfId="224">
      <pivotArea dataOnly="0" labelOnly="1" outline="0" fieldPosition="0">
        <references count="2">
          <reference field="0" count="1" selected="0">
            <x v="17"/>
          </reference>
          <reference field="1" count="1">
            <x v="66"/>
          </reference>
        </references>
      </pivotArea>
    </format>
    <format dxfId="223">
      <pivotArea dataOnly="0" labelOnly="1" outline="0" fieldPosition="0">
        <references count="2">
          <reference field="0" count="1" selected="0">
            <x v="17"/>
          </reference>
          <reference field="1" count="1">
            <x v="71"/>
          </reference>
        </references>
      </pivotArea>
    </format>
    <format dxfId="222">
      <pivotArea dataOnly="0" labelOnly="1" outline="0" fieldPosition="0">
        <references count="2">
          <reference field="0" count="1" selected="0">
            <x v="18"/>
          </reference>
          <reference field="1" count="1">
            <x v="28"/>
          </reference>
        </references>
      </pivotArea>
    </format>
    <format dxfId="221">
      <pivotArea dataOnly="0" labelOnly="1" outline="0" fieldPosition="0">
        <references count="2">
          <reference field="0" count="1" selected="0">
            <x v="19"/>
          </reference>
          <reference field="1" count="1">
            <x v="30"/>
          </reference>
        </references>
      </pivotArea>
    </format>
    <format dxfId="220">
      <pivotArea dataOnly="0" labelOnly="1" outline="0" fieldPosition="0">
        <references count="2">
          <reference field="0" count="1" selected="0">
            <x v="20"/>
          </reference>
          <reference field="1" count="1">
            <x v="11"/>
          </reference>
        </references>
      </pivotArea>
    </format>
    <format dxfId="219">
      <pivotArea dataOnly="0" labelOnly="1" outline="0" fieldPosition="0">
        <references count="2">
          <reference field="0" count="1" selected="0">
            <x v="21"/>
          </reference>
          <reference field="1" count="1">
            <x v="7"/>
          </reference>
        </references>
      </pivotArea>
    </format>
    <format dxfId="218">
      <pivotArea dataOnly="0" labelOnly="1" outline="0" fieldPosition="0">
        <references count="2">
          <reference field="0" count="1" selected="0">
            <x v="22"/>
          </reference>
          <reference field="1" count="1">
            <x v="5"/>
          </reference>
        </references>
      </pivotArea>
    </format>
    <format dxfId="217">
      <pivotArea dataOnly="0" labelOnly="1" outline="0" fieldPosition="0">
        <references count="2">
          <reference field="0" count="1" selected="0">
            <x v="23"/>
          </reference>
          <reference field="1" count="1">
            <x v="19"/>
          </reference>
        </references>
      </pivotArea>
    </format>
    <format dxfId="216">
      <pivotArea dataOnly="0" labelOnly="1" outline="0" fieldPosition="0">
        <references count="2">
          <reference field="0" count="1" selected="0">
            <x v="23"/>
          </reference>
          <reference field="1" count="1">
            <x v="34"/>
          </reference>
        </references>
      </pivotArea>
    </format>
    <format dxfId="215">
      <pivotArea dataOnly="0" labelOnly="1" outline="0" fieldPosition="0">
        <references count="2">
          <reference field="0" count="1" selected="0">
            <x v="24"/>
          </reference>
          <reference field="1" count="1">
            <x v="60"/>
          </reference>
        </references>
      </pivotArea>
    </format>
    <format dxfId="214">
      <pivotArea dataOnly="0" labelOnly="1" outline="0" fieldPosition="0">
        <references count="2">
          <reference field="0" count="1" selected="0">
            <x v="24"/>
          </reference>
          <reference field="1" count="1">
            <x v="67"/>
          </reference>
        </references>
      </pivotArea>
    </format>
    <format dxfId="213">
      <pivotArea dataOnly="0" labelOnly="1" outline="0" fieldPosition="0">
        <references count="2">
          <reference field="0" count="1" selected="0">
            <x v="24"/>
          </reference>
          <reference field="1" count="1">
            <x v="74"/>
          </reference>
        </references>
      </pivotArea>
    </format>
    <format dxfId="212">
      <pivotArea dataOnly="0" labelOnly="1" outline="0" fieldPosition="0">
        <references count="2">
          <reference field="0" count="1" selected="0">
            <x v="24"/>
          </reference>
          <reference field="1" count="1">
            <x v="75"/>
          </reference>
        </references>
      </pivotArea>
    </format>
    <format dxfId="211">
      <pivotArea dataOnly="0" labelOnly="1" outline="0" fieldPosition="0">
        <references count="2">
          <reference field="0" count="1" selected="0">
            <x v="24"/>
          </reference>
          <reference field="1" count="1">
            <x v="76"/>
          </reference>
        </references>
      </pivotArea>
    </format>
    <format dxfId="210">
      <pivotArea dataOnly="0" labelOnly="1" outline="0" fieldPosition="0">
        <references count="2">
          <reference field="0" count="1" selected="0">
            <x v="25"/>
          </reference>
          <reference field="1" count="1">
            <x v="57"/>
          </reference>
        </references>
      </pivotArea>
    </format>
    <format dxfId="209">
      <pivotArea dataOnly="0" labelOnly="1" outline="0" fieldPosition="0">
        <references count="2">
          <reference field="0" count="1" selected="0">
            <x v="26"/>
          </reference>
          <reference field="1" count="1">
            <x v="32"/>
          </reference>
        </references>
      </pivotArea>
    </format>
    <format dxfId="208">
      <pivotArea dataOnly="0" labelOnly="1" outline="0" fieldPosition="0">
        <references count="2">
          <reference field="0" count="1" selected="0">
            <x v="27"/>
          </reference>
          <reference field="1" count="1">
            <x v="15"/>
          </reference>
        </references>
      </pivotArea>
    </format>
    <format dxfId="207">
      <pivotArea dataOnly="0" labelOnly="1" outline="0" fieldPosition="0">
        <references count="2">
          <reference field="0" count="1" selected="0">
            <x v="28"/>
          </reference>
          <reference field="1" count="1">
            <x v="57"/>
          </reference>
        </references>
      </pivotArea>
    </format>
    <format dxfId="206">
      <pivotArea dataOnly="0" labelOnly="1" outline="0" fieldPosition="0">
        <references count="2">
          <reference field="0" count="1" selected="0">
            <x v="29"/>
          </reference>
          <reference field="1" count="1">
            <x v="10"/>
          </reference>
        </references>
      </pivotArea>
    </format>
    <format dxfId="205">
      <pivotArea dataOnly="0" labelOnly="1" outline="0" fieldPosition="0">
        <references count="2">
          <reference field="0" count="1" selected="0">
            <x v="29"/>
          </reference>
          <reference field="1" count="1">
            <x v="26"/>
          </reference>
        </references>
      </pivotArea>
    </format>
    <format dxfId="204">
      <pivotArea dataOnly="0" labelOnly="1" outline="0" fieldPosition="0">
        <references count="2">
          <reference field="0" count="1" selected="0">
            <x v="29"/>
          </reference>
          <reference field="1" count="1">
            <x v="33"/>
          </reference>
        </references>
      </pivotArea>
    </format>
    <format dxfId="203">
      <pivotArea dataOnly="0" labelOnly="1" outline="0" fieldPosition="0">
        <references count="2">
          <reference field="0" count="1" selected="0">
            <x v="29"/>
          </reference>
          <reference field="1" count="1">
            <x v="34"/>
          </reference>
        </references>
      </pivotArea>
    </format>
    <format dxfId="202">
      <pivotArea dataOnly="0" labelOnly="1" outline="0" fieldPosition="0">
        <references count="2">
          <reference field="0" count="1" selected="0">
            <x v="30"/>
          </reference>
          <reference field="1" count="1">
            <x v="46"/>
          </reference>
        </references>
      </pivotArea>
    </format>
    <format dxfId="201">
      <pivotArea dataOnly="0" labelOnly="1" outline="0" fieldPosition="0">
        <references count="2">
          <reference field="0" count="1" selected="0">
            <x v="31"/>
          </reference>
          <reference field="1" count="1">
            <x v="45"/>
          </reference>
        </references>
      </pivotArea>
    </format>
    <format dxfId="200">
      <pivotArea dataOnly="0" labelOnly="1" outline="0" fieldPosition="0">
        <references count="2">
          <reference field="0" count="1" selected="0">
            <x v="31"/>
          </reference>
          <reference field="1" count="1">
            <x v="51"/>
          </reference>
        </references>
      </pivotArea>
    </format>
    <format dxfId="199">
      <pivotArea dataOnly="0" labelOnly="1" outline="0" fieldPosition="0">
        <references count="2">
          <reference field="0" count="1" selected="0">
            <x v="31"/>
          </reference>
          <reference field="1" count="1">
            <x v="56"/>
          </reference>
        </references>
      </pivotArea>
    </format>
    <format dxfId="198">
      <pivotArea dataOnly="0" labelOnly="1" outline="0" fieldPosition="0">
        <references count="2">
          <reference field="0" count="1" selected="0">
            <x v="32"/>
          </reference>
          <reference field="1" count="1">
            <x v="24"/>
          </reference>
        </references>
      </pivotArea>
    </format>
    <format dxfId="197">
      <pivotArea dataOnly="0" labelOnly="1" outline="0" fieldPosition="0">
        <references count="2">
          <reference field="0" count="1" selected="0">
            <x v="33"/>
          </reference>
          <reference field="1" count="1">
            <x v="1"/>
          </reference>
        </references>
      </pivotArea>
    </format>
    <format dxfId="196">
      <pivotArea dataOnly="0" labelOnly="1" outline="0" fieldPosition="0">
        <references count="2">
          <reference field="0" count="1" selected="0">
            <x v="34"/>
          </reference>
          <reference field="1" count="1">
            <x v="37"/>
          </reference>
        </references>
      </pivotArea>
    </format>
    <format dxfId="195">
      <pivotArea dataOnly="0" labelOnly="1" outline="0" fieldPosition="0">
        <references count="2">
          <reference field="0" count="1" selected="0">
            <x v="34"/>
          </reference>
          <reference field="1" count="1">
            <x v="54"/>
          </reference>
        </references>
      </pivotArea>
    </format>
    <format dxfId="194">
      <pivotArea dataOnly="0" labelOnly="1" outline="0" fieldPosition="0">
        <references count="2">
          <reference field="0" count="1" selected="0">
            <x v="34"/>
          </reference>
          <reference field="1" count="1">
            <x v="59"/>
          </reference>
        </references>
      </pivotArea>
    </format>
    <format dxfId="193">
      <pivotArea dataOnly="0" labelOnly="1" outline="0" fieldPosition="0">
        <references count="2">
          <reference field="0" count="1" selected="0">
            <x v="34"/>
          </reference>
          <reference field="1" count="1">
            <x v="64"/>
          </reference>
        </references>
      </pivotArea>
    </format>
    <format dxfId="192">
      <pivotArea dataOnly="0" labelOnly="1" outline="0" fieldPosition="0">
        <references count="2">
          <reference field="0" count="1" selected="0">
            <x v="35"/>
          </reference>
          <reference field="1" count="1">
            <x v="18"/>
          </reference>
        </references>
      </pivotArea>
    </format>
    <format dxfId="191">
      <pivotArea dataOnly="0" labelOnly="1" outline="0" fieldPosition="0">
        <references count="2">
          <reference field="0" count="1" selected="0">
            <x v="36"/>
          </reference>
          <reference field="1" count="1">
            <x v="0"/>
          </reference>
        </references>
      </pivotArea>
    </format>
    <format dxfId="190">
      <pivotArea dataOnly="0" labelOnly="1" outline="0" fieldPosition="0">
        <references count="2">
          <reference field="0" count="1" selected="0">
            <x v="37"/>
          </reference>
          <reference field="1" count="1">
            <x v="45"/>
          </reference>
        </references>
      </pivotArea>
    </format>
    <format dxfId="189">
      <pivotArea dataOnly="0" labelOnly="1" outline="0" fieldPosition="0">
        <references count="2">
          <reference field="0" count="1" selected="0">
            <x v="38"/>
          </reference>
          <reference field="1" count="1">
            <x v="13"/>
          </reference>
        </references>
      </pivotArea>
    </format>
    <format dxfId="188">
      <pivotArea dataOnly="0" labelOnly="1" outline="0" fieldPosition="0">
        <references count="2">
          <reference field="0" count="1" selected="0">
            <x v="39"/>
          </reference>
          <reference field="1" count="1">
            <x v="11"/>
          </reference>
        </references>
      </pivotArea>
    </format>
    <format dxfId="187">
      <pivotArea dataOnly="0" labelOnly="1" outline="0" fieldPosition="0">
        <references count="2">
          <reference field="0" count="1" selected="0">
            <x v="40"/>
          </reference>
          <reference field="1" count="1">
            <x v="36"/>
          </reference>
        </references>
      </pivotArea>
    </format>
    <format dxfId="186">
      <pivotArea dataOnly="0" labelOnly="1" outline="0" fieldPosition="0">
        <references count="2">
          <reference field="0" count="1" selected="0">
            <x v="41"/>
          </reference>
          <reference field="1" count="1">
            <x v="41"/>
          </reference>
        </references>
      </pivotArea>
    </format>
    <format dxfId="185">
      <pivotArea dataOnly="0" labelOnly="1" outline="0" fieldPosition="0">
        <references count="2">
          <reference field="0" count="1" selected="0">
            <x v="42"/>
          </reference>
          <reference field="1" count="1">
            <x v="20"/>
          </reference>
        </references>
      </pivotArea>
    </format>
    <format dxfId="184">
      <pivotArea dataOnly="0" labelOnly="1" outline="0" fieldPosition="0">
        <references count="2">
          <reference field="0" count="1" selected="0">
            <x v="42"/>
          </reference>
          <reference field="1" count="1">
            <x v="38"/>
          </reference>
        </references>
      </pivotArea>
    </format>
    <format dxfId="183">
      <pivotArea dataOnly="0" labelOnly="1" outline="0" fieldPosition="0">
        <references count="2">
          <reference field="0" count="1" selected="0">
            <x v="42"/>
          </reference>
          <reference field="1" count="1">
            <x v="40"/>
          </reference>
        </references>
      </pivotArea>
    </format>
    <format dxfId="182">
      <pivotArea dataOnly="0" labelOnly="1" outline="0" fieldPosition="0">
        <references count="2">
          <reference field="0" count="1" selected="0">
            <x v="42"/>
          </reference>
          <reference field="1" count="1">
            <x v="42"/>
          </reference>
        </references>
      </pivotArea>
    </format>
    <format dxfId="181">
      <pivotArea dataOnly="0" labelOnly="1" outline="0" fieldPosition="0">
        <references count="2">
          <reference field="0" count="1" selected="0">
            <x v="42"/>
          </reference>
          <reference field="1" count="1">
            <x v="50"/>
          </reference>
        </references>
      </pivotArea>
    </format>
    <format dxfId="180">
      <pivotArea dataOnly="0" labelOnly="1" outline="0" fieldPosition="0">
        <references count="2">
          <reference field="0" count="1" selected="0">
            <x v="43"/>
          </reference>
          <reference field="1" count="1">
            <x v="12"/>
          </reference>
        </references>
      </pivotArea>
    </format>
    <format dxfId="179">
      <pivotArea dataOnly="0" labelOnly="1" outline="0" fieldPosition="0">
        <references count="2">
          <reference field="0" count="1" selected="0">
            <x v="44"/>
          </reference>
          <reference field="1" count="1">
            <x v="45"/>
          </reference>
        </references>
      </pivotArea>
    </format>
    <format dxfId="178">
      <pivotArea dataOnly="0" labelOnly="1" outline="0" fieldPosition="0">
        <references count="2">
          <reference field="0" count="1" selected="0">
            <x v="44"/>
          </reference>
          <reference field="1" count="1">
            <x v="63"/>
          </reference>
        </references>
      </pivotArea>
    </format>
    <format dxfId="177">
      <pivotArea dataOnly="0" labelOnly="1" outline="0" fieldPosition="0">
        <references count="2">
          <reference field="0" count="1" selected="0">
            <x v="45"/>
          </reference>
          <reference field="1" count="1">
            <x v="34"/>
          </reference>
        </references>
      </pivotArea>
    </format>
    <format dxfId="176">
      <pivotArea dataOnly="0" labelOnly="1" outline="0" fieldPosition="0">
        <references count="2">
          <reference field="0" count="1" selected="0">
            <x v="46"/>
          </reference>
          <reference field="1" count="1">
            <x v="19"/>
          </reference>
        </references>
      </pivotArea>
    </format>
    <format dxfId="175">
      <pivotArea dataOnly="0" labelOnly="1" outline="0" fieldPosition="0">
        <references count="2">
          <reference field="0" count="1" selected="0">
            <x v="47"/>
          </reference>
          <reference field="1" count="1">
            <x v="1"/>
          </reference>
        </references>
      </pivotArea>
    </format>
    <format dxfId="174">
      <pivotArea dataOnly="0" labelOnly="1" outline="0" fieldPosition="0">
        <references count="2">
          <reference field="0" count="1" selected="0">
            <x v="48"/>
          </reference>
          <reference field="1" count="1">
            <x v="41"/>
          </reference>
        </references>
      </pivotArea>
    </format>
    <format dxfId="173">
      <pivotArea dataOnly="0" labelOnly="1" outline="0" fieldPosition="0">
        <references count="2">
          <reference field="0" count="1" selected="0">
            <x v="49"/>
          </reference>
          <reference field="1" count="1">
            <x v="2"/>
          </reference>
        </references>
      </pivotArea>
    </format>
    <format dxfId="172">
      <pivotArea dataOnly="0" labelOnly="1" outline="0" fieldPosition="0">
        <references count="2">
          <reference field="0" count="1" selected="0">
            <x v="50"/>
          </reference>
          <reference field="1" count="1">
            <x v="54"/>
          </reference>
        </references>
      </pivotArea>
    </format>
    <format dxfId="171">
      <pivotArea dataOnly="0" labelOnly="1" outline="0" fieldPosition="0">
        <references count="2">
          <reference field="0" count="1" selected="0">
            <x v="50"/>
          </reference>
          <reference field="1" count="1">
            <x v="67"/>
          </reference>
        </references>
      </pivotArea>
    </format>
    <format dxfId="170">
      <pivotArea dataOnly="0" labelOnly="1" outline="0" fieldPosition="0">
        <references count="2">
          <reference field="0" count="1" selected="0">
            <x v="51"/>
          </reference>
          <reference field="1" count="1">
            <x v="3"/>
          </reference>
        </references>
      </pivotArea>
    </format>
    <format dxfId="169">
      <pivotArea dataOnly="0" labelOnly="1" outline="0" fieldPosition="0">
        <references count="2">
          <reference field="0" count="1" selected="0">
            <x v="52"/>
          </reference>
          <reference field="1" count="1">
            <x v="3"/>
          </reference>
        </references>
      </pivotArea>
    </format>
    <format dxfId="168">
      <pivotArea dataOnly="0" labelOnly="1" outline="0" fieldPosition="0">
        <references count="2">
          <reference field="0" count="1" selected="0">
            <x v="53"/>
          </reference>
          <reference field="1" count="1">
            <x v="4"/>
          </reference>
        </references>
      </pivotArea>
    </format>
    <format dxfId="167">
      <pivotArea dataOnly="0" labelOnly="1" outline="0" fieldPosition="0">
        <references count="2">
          <reference field="0" count="1" selected="0">
            <x v="54"/>
          </reference>
          <reference field="1" count="1">
            <x v="39"/>
          </reference>
        </references>
      </pivotArea>
    </format>
    <format dxfId="166">
      <pivotArea dataOnly="0" labelOnly="1" outline="0" fieldPosition="0">
        <references count="2">
          <reference field="0" count="1" selected="0">
            <x v="55"/>
          </reference>
          <reference field="1" count="1">
            <x v="37"/>
          </reference>
        </references>
      </pivotArea>
    </format>
    <format dxfId="165">
      <pivotArea dataOnly="0" labelOnly="1" outline="0" fieldPosition="0">
        <references count="2">
          <reference field="0" count="1" selected="0">
            <x v="56"/>
          </reference>
          <reference field="1" count="1">
            <x v="29"/>
          </reference>
        </references>
      </pivotArea>
    </format>
    <format dxfId="164">
      <pivotArea dataOnly="0" labelOnly="1" outline="0" fieldPosition="0">
        <references count="2">
          <reference field="0" count="1" selected="0">
            <x v="56"/>
          </reference>
          <reference field="1" count="1">
            <x v="41"/>
          </reference>
        </references>
      </pivotArea>
    </format>
    <format dxfId="163">
      <pivotArea dataOnly="0" labelOnly="1" outline="0" fieldPosition="0">
        <references count="2">
          <reference field="0" count="1" selected="0">
            <x v="56"/>
          </reference>
          <reference field="1" count="1">
            <x v="49"/>
          </reference>
        </references>
      </pivotArea>
    </format>
    <format dxfId="162">
      <pivotArea dataOnly="0" labelOnly="1" outline="0" fieldPosition="0">
        <references count="2">
          <reference field="0" count="1" selected="0">
            <x v="57"/>
          </reference>
          <reference field="1" count="1">
            <x v="35"/>
          </reference>
        </references>
      </pivotArea>
    </format>
    <format dxfId="161">
      <pivotArea dataOnly="0" labelOnly="1" outline="0" fieldPosition="0">
        <references count="2">
          <reference field="0" count="1" selected="0">
            <x v="57"/>
          </reference>
          <reference field="1" count="1">
            <x v="45"/>
          </reference>
        </references>
      </pivotArea>
    </format>
    <format dxfId="160">
      <pivotArea dataOnly="0" labelOnly="1" outline="0" fieldPosition="0">
        <references count="2">
          <reference field="0" count="1" selected="0">
            <x v="57"/>
          </reference>
          <reference field="1" count="1">
            <x v="63"/>
          </reference>
        </references>
      </pivotArea>
    </format>
    <format dxfId="159">
      <pivotArea dataOnly="0" labelOnly="1" outline="0" fieldPosition="0">
        <references count="2">
          <reference field="0" count="1" selected="0">
            <x v="57"/>
          </reference>
          <reference field="1" count="1">
            <x v="70"/>
          </reference>
        </references>
      </pivotArea>
    </format>
    <format dxfId="158">
      <pivotArea dataOnly="0" labelOnly="1" outline="0" fieldPosition="0">
        <references count="2">
          <reference field="0" count="1" selected="0">
            <x v="58"/>
          </reference>
          <reference field="1" count="1">
            <x v="25"/>
          </reference>
        </references>
      </pivotArea>
    </format>
    <format dxfId="157">
      <pivotArea dataOnly="0" labelOnly="1" outline="0" fieldPosition="0">
        <references count="2">
          <reference field="0" count="1" selected="0">
            <x v="59"/>
          </reference>
          <reference field="1" count="1">
            <x v="14"/>
          </reference>
        </references>
      </pivotArea>
    </format>
    <format dxfId="156">
      <pivotArea dataOnly="0" labelOnly="1" outline="0" fieldPosition="0">
        <references count="2">
          <reference field="0" count="1" selected="0">
            <x v="60"/>
          </reference>
          <reference field="1" count="1">
            <x v="9"/>
          </reference>
        </references>
      </pivotArea>
    </format>
    <format dxfId="155">
      <pivotArea dataOnly="0" labelOnly="1" outline="0" fieldPosition="0">
        <references count="2">
          <reference field="0" count="1" selected="0">
            <x v="61"/>
          </reference>
          <reference field="1" count="1">
            <x v="21"/>
          </reference>
        </references>
      </pivotArea>
    </format>
    <format dxfId="154">
      <pivotArea dataOnly="0" labelOnly="1" outline="0" fieldPosition="0">
        <references count="2">
          <reference field="0" count="1" selected="0">
            <x v="62"/>
          </reference>
          <reference field="1" count="1">
            <x v="5"/>
          </reference>
        </references>
      </pivotArea>
    </format>
    <format dxfId="153">
      <pivotArea dataOnly="0" labelOnly="1" outline="0" fieldPosition="0">
        <references count="2">
          <reference field="0" count="1" selected="0">
            <x v="63"/>
          </reference>
          <reference field="1" count="1">
            <x v="5"/>
          </reference>
        </references>
      </pivotArea>
    </format>
    <format dxfId="152">
      <pivotArea dataOnly="0" labelOnly="1" outline="0" fieldPosition="0">
        <references count="2">
          <reference field="0" count="1" selected="0">
            <x v="63"/>
          </reference>
          <reference field="1" count="1">
            <x v="25"/>
          </reference>
        </references>
      </pivotArea>
    </format>
    <format dxfId="151">
      <pivotArea dataOnly="0" labelOnly="1" outline="0" fieldPosition="0">
        <references count="2">
          <reference field="0" count="1" selected="0">
            <x v="63"/>
          </reference>
          <reference field="1" count="1">
            <x v="37"/>
          </reference>
        </references>
      </pivotArea>
    </format>
    <format dxfId="150">
      <pivotArea dataOnly="0" labelOnly="1" outline="0" fieldPosition="0">
        <references count="2">
          <reference field="0" count="1" selected="0">
            <x v="64"/>
          </reference>
          <reference field="1" count="1">
            <x v="10"/>
          </reference>
        </references>
      </pivotArea>
    </format>
    <format dxfId="149">
      <pivotArea dataOnly="0" labelOnly="1" outline="0" fieldPosition="0">
        <references count="2">
          <reference field="0" count="1" selected="0">
            <x v="65"/>
          </reference>
          <reference field="1" count="1">
            <x v="26"/>
          </reference>
        </references>
      </pivotArea>
    </format>
    <format dxfId="148">
      <pivotArea dataOnly="0" labelOnly="1" outline="0" fieldPosition="0">
        <references count="2">
          <reference field="0" count="1" selected="0">
            <x v="65"/>
          </reference>
          <reference field="1" count="1">
            <x v="41"/>
          </reference>
        </references>
      </pivotArea>
    </format>
    <format dxfId="147">
      <pivotArea dataOnly="0" labelOnly="1" outline="0" fieldPosition="0">
        <references count="2">
          <reference field="0" count="1" selected="0">
            <x v="65"/>
          </reference>
          <reference field="1" count="1">
            <x v="48"/>
          </reference>
        </references>
      </pivotArea>
    </format>
    <format dxfId="146">
      <pivotArea dataOnly="0" labelOnly="1" outline="0" fieldPosition="0">
        <references count="2">
          <reference field="0" count="1" selected="0">
            <x v="66"/>
          </reference>
          <reference field="1" count="1">
            <x v="35"/>
          </reference>
        </references>
      </pivotArea>
    </format>
    <format dxfId="145">
      <pivotArea dataOnly="0" labelOnly="1" outline="0" fieldPosition="0">
        <references count="2">
          <reference field="0" count="1" selected="0">
            <x v="67"/>
          </reference>
          <reference field="1" count="1">
            <x v="35"/>
          </reference>
        </references>
      </pivotArea>
    </format>
    <format dxfId="144">
      <pivotArea dataOnly="0" labelOnly="1" outline="0" fieldPosition="0">
        <references count="2">
          <reference field="0" count="1" selected="0">
            <x v="68"/>
          </reference>
          <reference field="1" count="1">
            <x v="22"/>
          </reference>
        </references>
      </pivotArea>
    </format>
    <format dxfId="143">
      <pivotArea dataOnly="0" labelOnly="1" outline="0" fieldPosition="0">
        <references count="2">
          <reference field="0" count="1" selected="0">
            <x v="69"/>
          </reference>
          <reference field="1" count="1">
            <x v="44"/>
          </reference>
        </references>
      </pivotArea>
    </format>
    <format dxfId="142">
      <pivotArea dataOnly="0" labelOnly="1" outline="0" fieldPosition="0">
        <references count="2">
          <reference field="0" count="1" selected="0">
            <x v="70"/>
          </reference>
          <reference field="1" count="1">
            <x v="44"/>
          </reference>
        </references>
      </pivotArea>
    </format>
    <format dxfId="141">
      <pivotArea dataOnly="0" labelOnly="1" outline="0" fieldPosition="0">
        <references count="2">
          <reference field="0" count="1" selected="0">
            <x v="71"/>
          </reference>
          <reference field="1" count="1">
            <x v="43"/>
          </reference>
        </references>
      </pivotArea>
    </format>
    <format dxfId="140">
      <pivotArea dataOnly="0" labelOnly="1" outline="0" fieldPosition="0">
        <references count="2">
          <reference field="0" count="1" selected="0">
            <x v="71"/>
          </reference>
          <reference field="1" count="1">
            <x v="53"/>
          </reference>
        </references>
      </pivotArea>
    </format>
    <format dxfId="139">
      <pivotArea dataOnly="0" labelOnly="1" outline="0" fieldPosition="0">
        <references count="2">
          <reference field="0" count="1" selected="0">
            <x v="71"/>
          </reference>
          <reference field="1" count="1">
            <x v="62"/>
          </reference>
        </references>
      </pivotArea>
    </format>
    <format dxfId="138">
      <pivotArea dataOnly="0" labelOnly="1" outline="0" fieldPosition="0">
        <references count="2">
          <reference field="0" count="1" selected="0">
            <x v="71"/>
          </reference>
          <reference field="1" count="1">
            <x v="68"/>
          </reference>
        </references>
      </pivotArea>
    </format>
    <format dxfId="137">
      <pivotArea dataOnly="0" labelOnly="1" outline="0" fieldPosition="0">
        <references count="2">
          <reference field="0" count="1" selected="0">
            <x v="71"/>
          </reference>
          <reference field="1" count="1">
            <x v="72"/>
          </reference>
        </references>
      </pivotArea>
    </format>
    <format dxfId="136">
      <pivotArea dataOnly="0" labelOnly="1" outline="0" fieldPosition="0">
        <references count="2">
          <reference field="0" count="1" selected="0">
            <x v="72"/>
          </reference>
          <reference field="1" count="1">
            <x v="31"/>
          </reference>
        </references>
      </pivotArea>
    </format>
    <format dxfId="135">
      <pivotArea dataOnly="0" labelOnly="1" outline="0" fieldPosition="0">
        <references count="2">
          <reference field="0" count="1" selected="0">
            <x v="73"/>
          </reference>
          <reference field="1" count="1">
            <x v="23"/>
          </reference>
        </references>
      </pivotArea>
    </format>
    <format dxfId="134">
      <pivotArea dataOnly="0" labelOnly="1" outline="0" fieldPosition="0">
        <references count="6">
          <reference field="0" count="1" selected="0">
            <x v="0"/>
          </reference>
          <reference field="1" count="1" selected="0">
            <x v="37"/>
          </reference>
          <reference field="3" count="1" selected="0">
            <x v="57"/>
          </reference>
          <reference field="5" count="1">
            <x v="4"/>
          </reference>
          <reference field="16" count="1" selected="0">
            <x v="1"/>
          </reference>
          <reference field="18" count="1" selected="0">
            <x v="0"/>
          </reference>
        </references>
      </pivotArea>
    </format>
    <format dxfId="133">
      <pivotArea dataOnly="0" labelOnly="1" outline="0" fieldPosition="0">
        <references count="6">
          <reference field="0" count="1" selected="0">
            <x v="0"/>
          </reference>
          <reference field="1" count="1" selected="0">
            <x v="54"/>
          </reference>
          <reference field="3" count="1" selected="0">
            <x v="79"/>
          </reference>
          <reference field="5" count="1">
            <x v="0"/>
          </reference>
          <reference field="16" count="1" selected="0">
            <x v="1"/>
          </reference>
          <reference field="18" count="1" selected="0">
            <x v="4"/>
          </reference>
        </references>
      </pivotArea>
    </format>
    <format dxfId="132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6"/>
          </reference>
          <reference field="3" count="1" selected="0">
            <x v="2"/>
          </reference>
          <reference field="5" count="1">
            <x v="4"/>
          </reference>
          <reference field="16" count="1" selected="0">
            <x v="1"/>
          </reference>
          <reference field="18" count="1" selected="0">
            <x v="0"/>
          </reference>
        </references>
      </pivotArea>
    </format>
    <format dxfId="131">
      <pivotArea dataOnly="0" labelOnly="1" outline="0" fieldPosition="0">
        <references count="6">
          <reference field="0" count="1" selected="0">
            <x v="2"/>
          </reference>
          <reference field="1" count="1" selected="0">
            <x v="5"/>
          </reference>
          <reference field="3" count="1" selected="0">
            <x v="15"/>
          </reference>
          <reference field="5" count="1">
            <x v="4"/>
          </reference>
          <reference field="16" count="1" selected="0">
            <x v="1"/>
          </reference>
          <reference field="18" count="1" selected="0">
            <x v="0"/>
          </reference>
        </references>
      </pivotArea>
    </format>
    <format dxfId="130">
      <pivotArea dataOnly="0" labelOnly="1" outline="0" fieldPosition="0">
        <references count="6">
          <reference field="0" count="1" selected="0">
            <x v="3"/>
          </reference>
          <reference field="1" count="1" selected="0">
            <x v="17"/>
          </reference>
          <reference field="3" count="1" selected="0">
            <x v="31"/>
          </reference>
          <reference field="5" count="1">
            <x v="4"/>
          </reference>
          <reference field="16" count="1" selected="0">
            <x v="1"/>
          </reference>
          <reference field="18" count="1" selected="0">
            <x v="0"/>
          </reference>
        </references>
      </pivotArea>
    </format>
    <format dxfId="129">
      <pivotArea dataOnly="0" labelOnly="1" outline="0" fieldPosition="0">
        <references count="6">
          <reference field="0" count="1" selected="0">
            <x v="4"/>
          </reference>
          <reference field="1" count="1" selected="0">
            <x v="1"/>
          </reference>
          <reference field="3" count="1" selected="0">
            <x v="32"/>
          </reference>
          <reference field="5" count="1">
            <x v="4"/>
          </reference>
          <reference field="16" count="1" selected="0">
            <x v="1"/>
          </reference>
          <reference field="18" count="1" selected="0">
            <x v="0"/>
          </reference>
        </references>
      </pivotArea>
    </format>
    <format dxfId="128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40"/>
          </reference>
          <reference field="3" count="1" selected="0">
            <x v="19"/>
          </reference>
          <reference field="5" count="1">
            <x v="4"/>
          </reference>
          <reference field="16" count="1" selected="0">
            <x v="1"/>
          </reference>
          <reference field="18" count="1" selected="0">
            <x v="0"/>
          </reference>
        </references>
      </pivotArea>
    </format>
    <format dxfId="127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8"/>
          </reference>
          <reference field="3" count="1" selected="0">
            <x v="28"/>
          </reference>
          <reference field="5" count="1">
            <x v="4"/>
          </reference>
          <reference field="16" count="1" selected="0">
            <x v="1"/>
          </reference>
          <reference field="18" count="1" selected="0">
            <x v="0"/>
          </reference>
        </references>
      </pivotArea>
    </format>
    <format dxfId="126">
      <pivotArea dataOnly="0" labelOnly="1" outline="0" fieldPosition="0">
        <references count="6">
          <reference field="0" count="1" selected="0">
            <x v="7"/>
          </reference>
          <reference field="1" count="1" selected="0">
            <x v="37"/>
          </reference>
          <reference field="3" count="1" selected="0">
            <x v="52"/>
          </reference>
          <reference field="5" count="1">
            <x v="4"/>
          </reference>
          <reference field="16" count="1" selected="0">
            <x v="1"/>
          </reference>
          <reference field="18" count="1" selected="0">
            <x v="0"/>
          </reference>
        </references>
      </pivotArea>
    </format>
    <format dxfId="125">
      <pivotArea dataOnly="0" labelOnly="1" outline="0" fieldPosition="0">
        <references count="6">
          <reference field="0" count="1" selected="0">
            <x v="7"/>
          </reference>
          <reference field="1" count="1" selected="0">
            <x v="55"/>
          </reference>
          <reference field="3" count="1" selected="0">
            <x v="75"/>
          </reference>
          <reference field="5" count="1">
            <x v="0"/>
          </reference>
          <reference field="16" count="1" selected="0">
            <x v="1"/>
          </reference>
          <reference field="18" count="1" selected="0">
            <x v="4"/>
          </reference>
        </references>
      </pivotArea>
    </format>
    <format dxfId="124">
      <pivotArea dataOnly="0" labelOnly="1" outline="0" fieldPosition="0">
        <references count="6">
          <reference field="0" count="1" selected="0">
            <x v="7"/>
          </reference>
          <reference field="1" count="1" selected="0">
            <x v="60"/>
          </reference>
          <reference field="3" count="1" selected="0">
            <x v="85"/>
          </reference>
          <reference field="5" count="1">
            <x v="1"/>
          </reference>
          <reference field="16" count="1" selected="0">
            <x v="0"/>
          </reference>
          <reference field="18" count="1" selected="0">
            <x v="4"/>
          </reference>
        </references>
      </pivotArea>
    </format>
    <format dxfId="123">
      <pivotArea dataOnly="0" labelOnly="1" outline="0" fieldPosition="0">
        <references count="6">
          <reference field="0" count="1" selected="0">
            <x v="7"/>
          </reference>
          <reference field="1" count="1" selected="0">
            <x v="65"/>
          </reference>
          <reference field="3" count="1" selected="0">
            <x v="94"/>
          </reference>
          <reference field="5" count="1">
            <x v="3"/>
          </reference>
          <reference field="16" count="1" selected="0">
            <x v="0"/>
          </reference>
          <reference field="18" count="1" selected="0">
            <x v="4"/>
          </reference>
        </references>
      </pivotArea>
    </format>
    <format dxfId="122">
      <pivotArea dataOnly="0" labelOnly="1" outline="0" fieldPosition="0">
        <references count="6">
          <reference field="0" count="1" selected="0">
            <x v="8"/>
          </reference>
          <reference field="1" count="1" selected="0">
            <x v="27"/>
          </reference>
          <reference field="3" count="1" selected="0">
            <x v="29"/>
          </reference>
          <reference field="5" count="1">
            <x v="4"/>
          </reference>
          <reference field="16" count="1" selected="0">
            <x v="1"/>
          </reference>
          <reference field="18" count="1" selected="0">
            <x v="0"/>
          </reference>
        </references>
      </pivotArea>
    </format>
    <format dxfId="121">
      <pivotArea dataOnly="0" labelOnly="1" outline="0" fieldPosition="0">
        <references count="6">
          <reference field="0" count="1" selected="0">
            <x v="9"/>
          </reference>
          <reference field="1" count="1" selected="0">
            <x v="3"/>
          </reference>
          <reference field="3" count="1" selected="0">
            <x v="22"/>
          </reference>
          <reference field="5" count="1">
            <x v="4"/>
          </reference>
          <reference field="16" count="1" selected="0">
            <x v="1"/>
          </reference>
          <reference field="18" count="1" selected="0">
            <x v="0"/>
          </reference>
        </references>
      </pivotArea>
    </format>
    <format dxfId="120">
      <pivotArea dataOnly="0" labelOnly="1" outline="0" fieldPosition="0">
        <references count="6">
          <reference field="0" count="1" selected="0">
            <x v="10"/>
          </reference>
          <reference field="1" count="1" selected="0">
            <x v="38"/>
          </reference>
          <reference field="3" count="1" selected="0">
            <x v="41"/>
          </reference>
          <reference field="5" count="1">
            <x v="4"/>
          </reference>
          <reference field="16" count="1" selected="0">
            <x v="1"/>
          </reference>
          <reference field="18" count="1" selected="0">
            <x v="0"/>
          </reference>
        </references>
      </pivotArea>
    </format>
    <format dxfId="119">
      <pivotArea dataOnly="0" labelOnly="1" outline="0" fieldPosition="0">
        <references count="6">
          <reference field="0" count="1" selected="0">
            <x v="11"/>
          </reference>
          <reference field="1" count="1" selected="0">
            <x v="23"/>
          </reference>
          <reference field="3" count="1" selected="0">
            <x v="18"/>
          </reference>
          <reference field="5" count="1">
            <x v="4"/>
          </reference>
          <reference field="16" count="1" selected="0">
            <x v="1"/>
          </reference>
          <reference field="18" count="1" selected="0">
            <x v="0"/>
          </reference>
        </references>
      </pivotArea>
    </format>
    <format dxfId="118">
      <pivotArea dataOnly="0" labelOnly="1" outline="0" fieldPosition="0">
        <references count="6">
          <reference field="0" count="1" selected="0">
            <x v="12"/>
          </reference>
          <reference field="1" count="1" selected="0">
            <x v="47"/>
          </reference>
          <reference field="3" count="1" selected="0">
            <x v="11"/>
          </reference>
          <reference field="5" count="1">
            <x v="4"/>
          </reference>
          <reference field="16" count="1" selected="0">
            <x v="1"/>
          </reference>
          <reference field="18" count="1" selected="0">
            <x v="0"/>
          </reference>
        </references>
      </pivotArea>
    </format>
    <format dxfId="117">
      <pivotArea dataOnly="0" labelOnly="1" outline="0" fieldPosition="0">
        <references count="6">
          <reference field="0" count="1" selected="0">
            <x v="12"/>
          </reference>
          <reference field="1" count="1" selected="0">
            <x v="52"/>
          </reference>
          <reference field="3" count="1" selected="0">
            <x v="48"/>
          </reference>
          <reference field="5" count="1">
            <x v="4"/>
          </reference>
          <reference field="16" count="1" selected="0">
            <x v="1"/>
          </reference>
          <reference field="18" count="1" selected="0">
            <x v="0"/>
          </reference>
        </references>
      </pivotArea>
    </format>
    <format dxfId="116">
      <pivotArea dataOnly="0" labelOnly="1" outline="0" fieldPosition="0">
        <references count="6">
          <reference field="0" count="1" selected="0">
            <x v="12"/>
          </reference>
          <reference field="1" count="1" selected="0">
            <x v="58"/>
          </reference>
          <reference field="3" count="1" selected="0">
            <x v="59"/>
          </reference>
          <reference field="5" count="1">
            <x v="0"/>
          </reference>
          <reference field="16" count="1" selected="0">
            <x v="1"/>
          </reference>
          <reference field="18" count="1" selected="0">
            <x v="2"/>
          </reference>
        </references>
      </pivotArea>
    </format>
    <format dxfId="115">
      <pivotArea dataOnly="0" labelOnly="1" outline="0" fieldPosition="0">
        <references count="6">
          <reference field="0" count="1" selected="0">
            <x v="12"/>
          </reference>
          <reference field="1" count="1" selected="0">
            <x v="67"/>
          </reference>
          <reference field="3" count="1" selected="0">
            <x v="82"/>
          </reference>
          <reference field="5" count="1">
            <x v="3"/>
          </reference>
          <reference field="16" count="1" selected="0">
            <x v="0"/>
          </reference>
          <reference field="18" count="1" selected="0">
            <x v="2"/>
          </reference>
        </references>
      </pivotArea>
    </format>
    <format dxfId="114">
      <pivotArea dataOnly="0" labelOnly="1" outline="0" fieldPosition="0">
        <references count="6">
          <reference field="0" count="1" selected="0">
            <x v="12"/>
          </reference>
          <reference field="1" count="1" selected="0">
            <x v="69"/>
          </reference>
          <reference field="3" count="1" selected="0">
            <x v="73"/>
          </reference>
          <reference field="5" count="1">
            <x v="0"/>
          </reference>
          <reference field="16" count="1" selected="0">
            <x v="1"/>
          </reference>
          <reference field="18" count="1" selected="0">
            <x v="4"/>
          </reference>
        </references>
      </pivotArea>
    </format>
    <format dxfId="113">
      <pivotArea dataOnly="0" labelOnly="1" outline="0" fieldPosition="0">
        <references count="6">
          <reference field="0" count="1" selected="0">
            <x v="12"/>
          </reference>
          <reference field="1" count="1" selected="0">
            <x v="73"/>
          </reference>
          <reference field="3" count="1" selected="0">
            <x v="92"/>
          </reference>
          <reference field="5" count="1">
            <x v="3"/>
          </reference>
          <reference field="16" count="1" selected="0">
            <x v="0"/>
          </reference>
          <reference field="18" count="1" selected="0">
            <x v="4"/>
          </reference>
        </references>
      </pivotArea>
    </format>
    <format dxfId="112">
      <pivotArea dataOnly="0" labelOnly="1" outline="0" fieldPosition="0">
        <references count="6">
          <reference field="0" count="1" selected="0">
            <x v="13"/>
          </reference>
          <reference field="1" count="1" selected="0">
            <x v="49"/>
          </reference>
          <reference field="3" count="1" selected="0">
            <x v="5"/>
          </reference>
          <reference field="5" count="1">
            <x v="4"/>
          </reference>
          <reference field="16" count="1" selected="0">
            <x v="1"/>
          </reference>
          <reference field="18" count="1" selected="0">
            <x v="0"/>
          </reference>
        </references>
      </pivotArea>
    </format>
    <format dxfId="111">
      <pivotArea dataOnly="0" labelOnly="1" outline="0" fieldPosition="0">
        <references count="6">
          <reference field="0" count="1" selected="0">
            <x v="14"/>
          </reference>
          <reference field="1" count="1" selected="0">
            <x v="2"/>
          </reference>
          <reference field="3" count="1" selected="0">
            <x v="57"/>
          </reference>
          <reference field="5" count="1">
            <x v="4"/>
          </reference>
          <reference field="16" count="1" selected="0">
            <x v="1"/>
          </reference>
          <reference field="18" count="1" selected="0">
            <x v="0"/>
          </reference>
        </references>
      </pivotArea>
    </format>
    <format dxfId="110">
      <pivotArea dataOnly="0" labelOnly="1" outline="0" fieldPosition="0">
        <references count="6">
          <reference field="0" count="1" selected="0">
            <x v="15"/>
          </reference>
          <reference field="1" count="1" selected="0">
            <x v="3"/>
          </reference>
          <reference field="3" count="1" selected="0">
            <x v="26"/>
          </reference>
          <reference field="5" count="1">
            <x v="4"/>
          </reference>
          <reference field="16" count="1" selected="0">
            <x v="1"/>
          </reference>
          <reference field="18" count="1" selected="0">
            <x v="0"/>
          </reference>
        </references>
      </pivotArea>
    </format>
    <format dxfId="109">
      <pivotArea dataOnly="0" labelOnly="1" outline="0" fieldPosition="0">
        <references count="6">
          <reference field="0" count="1" selected="0">
            <x v="16"/>
          </reference>
          <reference field="1" count="1" selected="0">
            <x v="16"/>
          </reference>
          <reference field="3" count="1" selected="0">
            <x v="34"/>
          </reference>
          <reference field="5" count="1">
            <x v="4"/>
          </reference>
          <reference field="16" count="1" selected="0">
            <x v="1"/>
          </reference>
          <reference field="18" count="1" selected="0">
            <x v="0"/>
          </reference>
        </references>
      </pivotArea>
    </format>
    <format dxfId="108">
      <pivotArea dataOnly="0" labelOnly="1" outline="0" fieldPosition="0">
        <references count="6">
          <reference field="0" count="1" selected="0">
            <x v="16"/>
          </reference>
          <reference field="1" count="1" selected="0">
            <x v="45"/>
          </reference>
          <reference field="3" count="1" selected="0">
            <x v="80"/>
          </reference>
          <reference field="5" count="1">
            <x v="0"/>
          </reference>
          <reference field="16" count="1" selected="0">
            <x v="1"/>
          </reference>
          <reference field="18" count="1" selected="0">
            <x v="5"/>
          </reference>
        </references>
      </pivotArea>
    </format>
    <format dxfId="107">
      <pivotArea dataOnly="0" labelOnly="1" outline="0" fieldPosition="0">
        <references count="6">
          <reference field="0" count="1" selected="0">
            <x v="16"/>
          </reference>
          <reference field="1" count="1" selected="0">
            <x v="52"/>
          </reference>
          <reference field="3" count="1" selected="0">
            <x v="96"/>
          </reference>
          <reference field="5" count="1">
            <x v="3"/>
          </reference>
          <reference field="16" count="1" selected="0">
            <x v="0"/>
          </reference>
          <reference field="18" count="1" selected="0">
            <x v="5"/>
          </reference>
        </references>
      </pivotArea>
    </format>
    <format dxfId="106">
      <pivotArea dataOnly="0" labelOnly="1" outline="0" fieldPosition="0">
        <references count="6">
          <reference field="0" count="1" selected="0">
            <x v="17"/>
          </reference>
          <reference field="1" count="1" selected="0">
            <x v="42"/>
          </reference>
          <reference field="3" count="1" selected="0">
            <x v="54"/>
          </reference>
          <reference field="5" count="1">
            <x v="4"/>
          </reference>
          <reference field="16" count="1" selected="0">
            <x v="1"/>
          </reference>
          <reference field="18" count="1" selected="0">
            <x v="0"/>
          </reference>
        </references>
      </pivotArea>
    </format>
    <format dxfId="105">
      <pivotArea dataOnly="0" labelOnly="1" outline="0" fieldPosition="0">
        <references count="6">
          <reference field="0" count="1" selected="0">
            <x v="17"/>
          </reference>
          <reference field="1" count="1" selected="0">
            <x v="61"/>
          </reference>
          <reference field="3" count="1" selected="0">
            <x v="77"/>
          </reference>
          <reference field="5" count="1">
            <x v="0"/>
          </reference>
          <reference field="16" count="1" selected="0">
            <x v="1"/>
          </reference>
          <reference field="18" count="1" selected="0">
            <x v="4"/>
          </reference>
        </references>
      </pivotArea>
    </format>
    <format dxfId="104">
      <pivotArea dataOnly="0" labelOnly="1" outline="0" fieldPosition="0">
        <references count="6">
          <reference field="0" count="1" selected="0">
            <x v="17"/>
          </reference>
          <reference field="1" count="1" selected="0">
            <x v="66"/>
          </reference>
          <reference field="3" count="1" selected="0">
            <x v="86"/>
          </reference>
          <reference field="5" count="1">
            <x v="1"/>
          </reference>
          <reference field="16" count="1" selected="0">
            <x v="0"/>
          </reference>
          <reference field="18" count="1" selected="0">
            <x v="4"/>
          </reference>
        </references>
      </pivotArea>
    </format>
    <format dxfId="103">
      <pivotArea dataOnly="0" labelOnly="1" outline="0" fieldPosition="0">
        <references count="6">
          <reference field="0" count="1" selected="0">
            <x v="17"/>
          </reference>
          <reference field="1" count="1" selected="0">
            <x v="71"/>
          </reference>
          <reference field="3" count="1" selected="0">
            <x v="95"/>
          </reference>
          <reference field="5" count="1">
            <x v="3"/>
          </reference>
          <reference field="16" count="1" selected="0">
            <x v="0"/>
          </reference>
          <reference field="18" count="1" selected="0">
            <x v="4"/>
          </reference>
        </references>
      </pivotArea>
    </format>
    <format dxfId="102">
      <pivotArea dataOnly="0" labelOnly="1" outline="0" fieldPosition="0">
        <references count="6">
          <reference field="0" count="1" selected="0">
            <x v="18"/>
          </reference>
          <reference field="1" count="1" selected="0">
            <x v="28"/>
          </reference>
          <reference field="3" count="1" selected="0">
            <x v="3"/>
          </reference>
          <reference field="5" count="1">
            <x v="4"/>
          </reference>
          <reference field="16" count="1" selected="0">
            <x v="1"/>
          </reference>
          <reference field="18" count="1" selected="0">
            <x v="0"/>
          </reference>
        </references>
      </pivotArea>
    </format>
    <format dxfId="101">
      <pivotArea dataOnly="0" labelOnly="1" outline="0" fieldPosition="0">
        <references count="6">
          <reference field="0" count="1" selected="0">
            <x v="19"/>
          </reference>
          <reference field="1" count="1" selected="0">
            <x v="30"/>
          </reference>
          <reference field="3" count="1" selected="0">
            <x v="38"/>
          </reference>
          <reference field="5" count="1">
            <x v="4"/>
          </reference>
          <reference field="16" count="1" selected="0">
            <x v="1"/>
          </reference>
          <reference field="18" count="1" selected="0">
            <x v="0"/>
          </reference>
        </references>
      </pivotArea>
    </format>
    <format dxfId="100">
      <pivotArea dataOnly="0" labelOnly="1" outline="0" fieldPosition="0">
        <references count="6">
          <reference field="0" count="1" selected="0">
            <x v="20"/>
          </reference>
          <reference field="1" count="1" selected="0">
            <x v="11"/>
          </reference>
          <reference field="3" count="1" selected="0">
            <x v="28"/>
          </reference>
          <reference field="5" count="1">
            <x v="4"/>
          </reference>
          <reference field="16" count="1" selected="0">
            <x v="1"/>
          </reference>
          <reference field="18" count="1" selected="0">
            <x v="0"/>
          </reference>
        </references>
      </pivotArea>
    </format>
    <format dxfId="99">
      <pivotArea dataOnly="0" labelOnly="1" outline="0" fieldPosition="0">
        <references count="6">
          <reference field="0" count="1" selected="0">
            <x v="21"/>
          </reference>
          <reference field="1" count="1" selected="0">
            <x v="7"/>
          </reference>
          <reference field="3" count="1" selected="0">
            <x v="7"/>
          </reference>
          <reference field="5" count="1">
            <x v="4"/>
          </reference>
          <reference field="16" count="1" selected="0">
            <x v="1"/>
          </reference>
          <reference field="18" count="1" selected="0">
            <x v="0"/>
          </reference>
        </references>
      </pivotArea>
    </format>
    <format dxfId="98">
      <pivotArea dataOnly="0" labelOnly="1" outline="0" fieldPosition="0">
        <references count="6">
          <reference field="0" count="1" selected="0">
            <x v="22"/>
          </reference>
          <reference field="1" count="1" selected="0">
            <x v="5"/>
          </reference>
          <reference field="3" count="1" selected="0">
            <x v="9"/>
          </reference>
          <reference field="5" count="1">
            <x v="4"/>
          </reference>
          <reference field="16" count="1" selected="0">
            <x v="1"/>
          </reference>
          <reference field="18" count="1" selected="0">
            <x v="0"/>
          </reference>
        </references>
      </pivotArea>
    </format>
    <format dxfId="97">
      <pivotArea dataOnly="0" labelOnly="1" outline="0" fieldPosition="0">
        <references count="6">
          <reference field="0" count="1" selected="0">
            <x v="23"/>
          </reference>
          <reference field="1" count="1" selected="0">
            <x v="19"/>
          </reference>
          <reference field="3" count="1" selected="0">
            <x v="16"/>
          </reference>
          <reference field="5" count="1">
            <x v="4"/>
          </reference>
          <reference field="16" count="1" selected="0">
            <x v="1"/>
          </reference>
          <reference field="18" count="1" selected="0">
            <x v="0"/>
          </reference>
        </references>
      </pivotArea>
    </format>
    <format dxfId="96">
      <pivotArea dataOnly="0" labelOnly="1" outline="0" fieldPosition="0">
        <references count="6">
          <reference field="0" count="1" selected="0">
            <x v="23"/>
          </reference>
          <reference field="1" count="1" selected="0">
            <x v="34"/>
          </reference>
          <reference field="3" count="1" selected="0">
            <x v="58"/>
          </reference>
          <reference field="5" count="1">
            <x v="0"/>
          </reference>
          <reference field="16" count="1" selected="0">
            <x v="1"/>
          </reference>
          <reference field="18" count="1" selected="0">
            <x v="2"/>
          </reference>
        </references>
      </pivotArea>
    </format>
    <format dxfId="95">
      <pivotArea dataOnly="0" labelOnly="1" outline="0" fieldPosition="0">
        <references count="6">
          <reference field="0" count="1" selected="0">
            <x v="24"/>
          </reference>
          <reference field="1" count="1" selected="0">
            <x v="60"/>
          </reference>
          <reference field="3" count="1" selected="0">
            <x v="37"/>
          </reference>
          <reference field="5" count="1">
            <x v="4"/>
          </reference>
          <reference field="16" count="1" selected="0">
            <x v="0"/>
          </reference>
          <reference field="18" count="1" selected="0">
            <x v="0"/>
          </reference>
        </references>
      </pivotArea>
    </format>
    <format dxfId="94">
      <pivotArea dataOnly="0" labelOnly="1" outline="0" fieldPosition="0">
        <references count="6">
          <reference field="0" count="1" selected="0">
            <x v="24"/>
          </reference>
          <reference field="1" count="1" selected="0">
            <x v="67"/>
          </reference>
          <reference field="3" count="1" selected="0">
            <x v="37"/>
          </reference>
          <reference field="5" count="1">
            <x v="4"/>
          </reference>
          <reference field="16" count="1" selected="0">
            <x v="1"/>
          </reference>
          <reference field="18" count="1" selected="0">
            <x v="0"/>
          </reference>
        </references>
      </pivotArea>
    </format>
    <format dxfId="93">
      <pivotArea dataOnly="0" labelOnly="1" outline="0" fieldPosition="0">
        <references count="6">
          <reference field="0" count="1" selected="0">
            <x v="24"/>
          </reference>
          <reference field="1" count="1" selected="0">
            <x v="74"/>
          </reference>
          <reference field="3" count="1" selected="0">
            <x v="70"/>
          </reference>
          <reference field="5" count="1">
            <x v="0"/>
          </reference>
          <reference field="16" count="1" selected="0">
            <x v="1"/>
          </reference>
          <reference field="18" count="1" selected="0">
            <x v="4"/>
          </reference>
        </references>
      </pivotArea>
    </format>
    <format dxfId="92">
      <pivotArea dataOnly="0" labelOnly="1" outline="0" fieldPosition="0">
        <references count="6">
          <reference field="0" count="1" selected="0">
            <x v="24"/>
          </reference>
          <reference field="1" count="1" selected="0">
            <x v="75"/>
          </reference>
          <reference field="3" count="1" selected="0">
            <x v="83"/>
          </reference>
          <reference field="5" count="1">
            <x v="1"/>
          </reference>
          <reference field="16" count="1" selected="0">
            <x v="0"/>
          </reference>
          <reference field="18" count="1" selected="0">
            <x v="4"/>
          </reference>
        </references>
      </pivotArea>
    </format>
    <format dxfId="91">
      <pivotArea dataOnly="0" labelOnly="1" outline="0" fieldPosition="0">
        <references count="6">
          <reference field="0" count="1" selected="0">
            <x v="24"/>
          </reference>
          <reference field="1" count="1" selected="0">
            <x v="76"/>
          </reference>
          <reference field="3" count="1" selected="0">
            <x v="90"/>
          </reference>
          <reference field="5" count="1">
            <x v="3"/>
          </reference>
          <reference field="16" count="1" selected="0">
            <x v="0"/>
          </reference>
          <reference field="18" count="1" selected="0">
            <x v="4"/>
          </reference>
        </references>
      </pivotArea>
    </format>
    <format dxfId="90">
      <pivotArea dataOnly="0" labelOnly="1" outline="0" fieldPosition="0">
        <references count="6">
          <reference field="0" count="1" selected="0">
            <x v="25"/>
          </reference>
          <reference field="1" count="1" selected="0">
            <x v="57"/>
          </reference>
          <reference field="3" count="1" selected="0">
            <x v="43"/>
          </reference>
          <reference field="5" count="1">
            <x v="4"/>
          </reference>
          <reference field="16" count="1" selected="0">
            <x v="1"/>
          </reference>
          <reference field="18" count="1" selected="0">
            <x v="0"/>
          </reference>
        </references>
      </pivotArea>
    </format>
    <format dxfId="89">
      <pivotArea dataOnly="0" labelOnly="1" outline="0" fieldPosition="0">
        <references count="6">
          <reference field="0" count="1" selected="0">
            <x v="26"/>
          </reference>
          <reference field="1" count="1" selected="0">
            <x v="32"/>
          </reference>
          <reference field="3" count="1" selected="0">
            <x v="14"/>
          </reference>
          <reference field="5" count="1">
            <x v="4"/>
          </reference>
          <reference field="16" count="1" selected="0">
            <x v="1"/>
          </reference>
          <reference field="18" count="1" selected="0">
            <x v="0"/>
          </reference>
        </references>
      </pivotArea>
    </format>
    <format dxfId="88">
      <pivotArea dataOnly="0" labelOnly="1" outline="0" fieldPosition="0">
        <references count="6">
          <reference field="0" count="1" selected="0">
            <x v="27"/>
          </reference>
          <reference field="1" count="1" selected="0">
            <x v="15"/>
          </reference>
          <reference field="3" count="1" selected="0">
            <x v="0"/>
          </reference>
          <reference field="5" count="1">
            <x v="4"/>
          </reference>
          <reference field="16" count="1" selected="0">
            <x v="1"/>
          </reference>
          <reference field="18" count="1" selected="0">
            <x v="0"/>
          </reference>
        </references>
      </pivotArea>
    </format>
    <format dxfId="87">
      <pivotArea dataOnly="0" labelOnly="1" outline="0" fieldPosition="0">
        <references count="6">
          <reference field="0" count="1" selected="0">
            <x v="28"/>
          </reference>
          <reference field="1" count="1" selected="0">
            <x v="57"/>
          </reference>
          <reference field="3" count="1" selected="0">
            <x v="28"/>
          </reference>
          <reference field="5" count="1">
            <x v="4"/>
          </reference>
          <reference field="16" count="1" selected="0">
            <x v="1"/>
          </reference>
          <reference field="18" count="1" selected="0">
            <x v="0"/>
          </reference>
        </references>
      </pivotArea>
    </format>
    <format dxfId="86">
      <pivotArea dataOnly="0" labelOnly="1" outline="0" fieldPosition="0">
        <references count="6">
          <reference field="0" count="1" selected="0">
            <x v="29"/>
          </reference>
          <reference field="1" count="1" selected="0">
            <x v="10"/>
          </reference>
          <reference field="3" count="1" selected="0">
            <x v="24"/>
          </reference>
          <reference field="5" count="1">
            <x v="4"/>
          </reference>
          <reference field="16" count="1" selected="0">
            <x v="1"/>
          </reference>
          <reference field="18" count="1" selected="0">
            <x v="0"/>
          </reference>
        </references>
      </pivotArea>
    </format>
    <format dxfId="85">
      <pivotArea dataOnly="0" labelOnly="1" outline="0" fieldPosition="0">
        <references count="6">
          <reference field="0" count="1" selected="0">
            <x v="29"/>
          </reference>
          <reference field="1" count="1" selected="0">
            <x v="26"/>
          </reference>
          <reference field="3" count="1" selected="0">
            <x v="64"/>
          </reference>
          <reference field="5" count="1">
            <x v="0"/>
          </reference>
          <reference field="16" count="1" selected="0">
            <x v="1"/>
          </reference>
          <reference field="18" count="1" selected="0">
            <x v="3"/>
          </reference>
        </references>
      </pivotArea>
    </format>
    <format dxfId="84">
      <pivotArea dataOnly="0" labelOnly="1" outline="0" fieldPosition="0">
        <references count="6">
          <reference field="0" count="1" selected="0">
            <x v="29"/>
          </reference>
          <reference field="1" count="1" selected="0">
            <x v="33"/>
          </reference>
          <reference field="3" count="1" selected="0">
            <x v="78"/>
          </reference>
          <reference field="5" count="1">
            <x v="1"/>
          </reference>
          <reference field="16" count="1" selected="0">
            <x v="0"/>
          </reference>
          <reference field="18" count="1" selected="0">
            <x v="3"/>
          </reference>
        </references>
      </pivotArea>
    </format>
    <format dxfId="83">
      <pivotArea dataOnly="0" labelOnly="1" outline="0" fieldPosition="0">
        <references count="6">
          <reference field="0" count="1" selected="0">
            <x v="29"/>
          </reference>
          <reference field="1" count="1" selected="0">
            <x v="34"/>
          </reference>
          <reference field="3" count="1" selected="0">
            <x v="87"/>
          </reference>
          <reference field="5" count="1">
            <x v="3"/>
          </reference>
          <reference field="16" count="1" selected="0">
            <x v="0"/>
          </reference>
          <reference field="18" count="1" selected="0">
            <x v="3"/>
          </reference>
        </references>
      </pivotArea>
    </format>
    <format dxfId="82">
      <pivotArea dataOnly="0" labelOnly="1" outline="0" fieldPosition="0">
        <references count="6">
          <reference field="0" count="1" selected="0">
            <x v="30"/>
          </reference>
          <reference field="1" count="1" selected="0">
            <x v="46"/>
          </reference>
          <reference field="3" count="1" selected="0">
            <x v="6"/>
          </reference>
          <reference field="5" count="1">
            <x v="4"/>
          </reference>
          <reference field="16" count="1" selected="0">
            <x v="1"/>
          </reference>
          <reference field="18" count="1" selected="0">
            <x v="0"/>
          </reference>
        </references>
      </pivotArea>
    </format>
    <format dxfId="81">
      <pivotArea dataOnly="0" labelOnly="1" outline="0" fieldPosition="0">
        <references count="6">
          <reference field="0" count="1" selected="0">
            <x v="31"/>
          </reference>
          <reference field="1" count="1" selected="0">
            <x v="45"/>
          </reference>
          <reference field="3" count="1" selected="0">
            <x v="30"/>
          </reference>
          <reference field="5" count="1">
            <x v="4"/>
          </reference>
          <reference field="16" count="1" selected="0">
            <x v="1"/>
          </reference>
          <reference field="18" count="1" selected="0">
            <x v="0"/>
          </reference>
        </references>
      </pivotArea>
    </format>
    <format dxfId="80">
      <pivotArea dataOnly="0" labelOnly="1" outline="0" fieldPosition="0">
        <references count="6">
          <reference field="0" count="1" selected="0">
            <x v="31"/>
          </reference>
          <reference field="1" count="1" selected="0">
            <x v="51"/>
          </reference>
          <reference field="3" count="1" selected="0">
            <x v="61"/>
          </reference>
          <reference field="5" count="1">
            <x v="0"/>
          </reference>
          <reference field="16" count="1" selected="0">
            <x v="1"/>
          </reference>
          <reference field="18" count="1" selected="0">
            <x v="2"/>
          </reference>
        </references>
      </pivotArea>
    </format>
    <format dxfId="79">
      <pivotArea dataOnly="0" labelOnly="1" outline="0" fieldPosition="0">
        <references count="6">
          <reference field="0" count="1" selected="0">
            <x v="31"/>
          </reference>
          <reference field="1" count="1" selected="0">
            <x v="56"/>
          </reference>
          <reference field="3" count="1" selected="0">
            <x v="66"/>
          </reference>
          <reference field="5" count="1">
            <x v="0"/>
          </reference>
          <reference field="16" count="1" selected="0">
            <x v="1"/>
          </reference>
          <reference field="18" count="1" selected="0">
            <x v="3"/>
          </reference>
        </references>
      </pivotArea>
    </format>
    <format dxfId="78">
      <pivotArea dataOnly="0" labelOnly="1" outline="0" fieldPosition="0">
        <references count="6">
          <reference field="0" count="1" selected="0">
            <x v="32"/>
          </reference>
          <reference field="1" count="1" selected="0">
            <x v="24"/>
          </reference>
          <reference field="3" count="1" selected="0">
            <x v="56"/>
          </reference>
          <reference field="5" count="1">
            <x v="4"/>
          </reference>
          <reference field="16" count="1" selected="0">
            <x v="1"/>
          </reference>
          <reference field="18" count="1" selected="0">
            <x v="0"/>
          </reference>
        </references>
      </pivotArea>
    </format>
    <format dxfId="77">
      <pivotArea dataOnly="0" labelOnly="1" outline="0" fieldPosition="0">
        <references count="6">
          <reference field="0" count="1" selected="0">
            <x v="33"/>
          </reference>
          <reference field="1" count="1" selected="0">
            <x v="1"/>
          </reference>
          <reference field="3" count="1" selected="0">
            <x v="35"/>
          </reference>
          <reference field="5" count="1">
            <x v="4"/>
          </reference>
          <reference field="16" count="1" selected="0">
            <x v="1"/>
          </reference>
          <reference field="18" count="1" selected="0">
            <x v="0"/>
          </reference>
        </references>
      </pivotArea>
    </format>
    <format dxfId="76">
      <pivotArea dataOnly="0" labelOnly="1" outline="0" fieldPosition="0">
        <references count="6">
          <reference field="0" count="1" selected="0">
            <x v="34"/>
          </reference>
          <reference field="1" count="1" selected="0">
            <x v="37"/>
          </reference>
          <reference field="3" count="1" selected="0">
            <x v="52"/>
          </reference>
          <reference field="5" count="1">
            <x v="4"/>
          </reference>
          <reference field="16" count="1" selected="0">
            <x v="1"/>
          </reference>
          <reference field="18" count="1" selected="0">
            <x v="0"/>
          </reference>
        </references>
      </pivotArea>
    </format>
    <format dxfId="75">
      <pivotArea dataOnly="0" labelOnly="1" outline="0" fieldPosition="0">
        <references count="6">
          <reference field="0" count="1" selected="0">
            <x v="34"/>
          </reference>
          <reference field="1" count="1" selected="0">
            <x v="54"/>
          </reference>
          <reference field="3" count="1" selected="0">
            <x v="75"/>
          </reference>
          <reference field="5" count="1">
            <x v="0"/>
          </reference>
          <reference field="16" count="1" selected="0">
            <x v="1"/>
          </reference>
          <reference field="18" count="1" selected="0">
            <x v="4"/>
          </reference>
        </references>
      </pivotArea>
    </format>
    <format dxfId="74">
      <pivotArea dataOnly="0" labelOnly="1" outline="0" fieldPosition="0">
        <references count="6">
          <reference field="0" count="1" selected="0">
            <x v="34"/>
          </reference>
          <reference field="1" count="1" selected="0">
            <x v="59"/>
          </reference>
          <reference field="3" count="1" selected="0">
            <x v="85"/>
          </reference>
          <reference field="5" count="1">
            <x v="1"/>
          </reference>
          <reference field="16" count="1" selected="0">
            <x v="0"/>
          </reference>
          <reference field="18" count="1" selected="0">
            <x v="4"/>
          </reference>
        </references>
      </pivotArea>
    </format>
    <format dxfId="73">
      <pivotArea dataOnly="0" labelOnly="1" outline="0" fieldPosition="0">
        <references count="6">
          <reference field="0" count="1" selected="0">
            <x v="34"/>
          </reference>
          <reference field="1" count="1" selected="0">
            <x v="64"/>
          </reference>
          <reference field="3" count="1" selected="0">
            <x v="94"/>
          </reference>
          <reference field="5" count="1">
            <x v="3"/>
          </reference>
          <reference field="16" count="1" selected="0">
            <x v="0"/>
          </reference>
          <reference field="18" count="1" selected="0">
            <x v="4"/>
          </reference>
        </references>
      </pivotArea>
    </format>
    <format dxfId="72">
      <pivotArea dataOnly="0" labelOnly="1" outline="0" fieldPosition="0">
        <references count="6">
          <reference field="0" count="1" selected="0">
            <x v="35"/>
          </reference>
          <reference field="1" count="1" selected="0">
            <x v="18"/>
          </reference>
          <reference field="3" count="1" selected="0">
            <x v="13"/>
          </reference>
          <reference field="5" count="1">
            <x v="4"/>
          </reference>
          <reference field="16" count="1" selected="0">
            <x v="1"/>
          </reference>
          <reference field="18" count="1" selected="0">
            <x v="0"/>
          </reference>
        </references>
      </pivotArea>
    </format>
    <format dxfId="71">
      <pivotArea dataOnly="0" labelOnly="1" outline="0" fieldPosition="0">
        <references count="6">
          <reference field="0" count="1" selected="0">
            <x v="36"/>
          </reference>
          <reference field="1" count="1" selected="0">
            <x v="0"/>
          </reference>
          <reference field="3" count="1" selected="0">
            <x v="4"/>
          </reference>
          <reference field="5" count="1">
            <x v="4"/>
          </reference>
          <reference field="16" count="1" selected="0">
            <x v="1"/>
          </reference>
          <reference field="18" count="1" selected="0">
            <x v="0"/>
          </reference>
        </references>
      </pivotArea>
    </format>
    <format dxfId="70">
      <pivotArea dataOnly="0" labelOnly="1" outline="0" fieldPosition="0">
        <references count="6">
          <reference field="0" count="1" selected="0">
            <x v="37"/>
          </reference>
          <reference field="1" count="1" selected="0">
            <x v="45"/>
          </reference>
          <reference field="3" count="1" selected="0">
            <x v="44"/>
          </reference>
          <reference field="5" count="1">
            <x v="4"/>
          </reference>
          <reference field="16" count="1" selected="0">
            <x v="1"/>
          </reference>
          <reference field="18" count="1" selected="0">
            <x v="0"/>
          </reference>
        </references>
      </pivotArea>
    </format>
    <format dxfId="69">
      <pivotArea dataOnly="0" labelOnly="1" outline="0" fieldPosition="0">
        <references count="6">
          <reference field="0" count="1" selected="0">
            <x v="38"/>
          </reference>
          <reference field="1" count="1" selected="0">
            <x v="13"/>
          </reference>
          <reference field="3" count="1" selected="0">
            <x v="35"/>
          </reference>
          <reference field="5" count="1">
            <x v="4"/>
          </reference>
          <reference field="16" count="1" selected="0">
            <x v="1"/>
          </reference>
          <reference field="18" count="1" selected="0">
            <x v="0"/>
          </reference>
        </references>
      </pivotArea>
    </format>
    <format dxfId="68">
      <pivotArea dataOnly="0" labelOnly="1" outline="0" fieldPosition="0">
        <references count="6">
          <reference field="0" count="1" selected="0">
            <x v="39"/>
          </reference>
          <reference field="1" count="1" selected="0">
            <x v="11"/>
          </reference>
          <reference field="3" count="1" selected="0">
            <x v="43"/>
          </reference>
          <reference field="5" count="1">
            <x v="4"/>
          </reference>
          <reference field="16" count="1" selected="0">
            <x v="1"/>
          </reference>
          <reference field="18" count="1" selected="0">
            <x v="0"/>
          </reference>
        </references>
      </pivotArea>
    </format>
    <format dxfId="67">
      <pivotArea dataOnly="0" labelOnly="1" outline="0" fieldPosition="0">
        <references count="6">
          <reference field="0" count="1" selected="0">
            <x v="40"/>
          </reference>
          <reference field="1" count="1" selected="0">
            <x v="36"/>
          </reference>
          <reference field="3" count="1" selected="0">
            <x v="29"/>
          </reference>
          <reference field="5" count="1">
            <x v="4"/>
          </reference>
          <reference field="16" count="1" selected="0">
            <x v="1"/>
          </reference>
          <reference field="18" count="1" selected="0">
            <x v="0"/>
          </reference>
        </references>
      </pivotArea>
    </format>
    <format dxfId="66">
      <pivotArea dataOnly="0" labelOnly="1" outline="0" fieldPosition="0">
        <references count="6">
          <reference field="0" count="1" selected="0">
            <x v="41"/>
          </reference>
          <reference field="1" count="1" selected="0">
            <x v="41"/>
          </reference>
          <reference field="3" count="1" selected="0">
            <x v="10"/>
          </reference>
          <reference field="5" count="1">
            <x v="4"/>
          </reference>
          <reference field="16" count="1" selected="0">
            <x v="1"/>
          </reference>
          <reference field="18" count="1" selected="0">
            <x v="0"/>
          </reference>
        </references>
      </pivotArea>
    </format>
    <format dxfId="65">
      <pivotArea dataOnly="0" labelOnly="1" outline="0" fieldPosition="0">
        <references count="6">
          <reference field="0" count="1" selected="0">
            <x v="42"/>
          </reference>
          <reference field="1" count="1" selected="0">
            <x v="20"/>
          </reference>
          <reference field="3" count="1" selected="0">
            <x v="33"/>
          </reference>
          <reference field="5" count="1">
            <x v="4"/>
          </reference>
          <reference field="16" count="1" selected="0">
            <x v="1"/>
          </reference>
          <reference field="18" count="1" selected="0">
            <x v="0"/>
          </reference>
        </references>
      </pivotArea>
    </format>
    <format dxfId="64">
      <pivotArea dataOnly="0" labelOnly="1" outline="0" fieldPosition="0">
        <references count="6">
          <reference field="0" count="1" selected="0">
            <x v="42"/>
          </reference>
          <reference field="1" count="1" selected="0">
            <x v="38"/>
          </reference>
          <reference field="3" count="1" selected="0">
            <x v="62"/>
          </reference>
          <reference field="5" count="1">
            <x v="0"/>
          </reference>
          <reference field="16" count="1" selected="0">
            <x v="1"/>
          </reference>
          <reference field="18" count="1" selected="0">
            <x v="2"/>
          </reference>
        </references>
      </pivotArea>
    </format>
    <format dxfId="63">
      <pivotArea dataOnly="0" labelOnly="1" outline="0" fieldPosition="0">
        <references count="6">
          <reference field="0" count="1" selected="0">
            <x v="42"/>
          </reference>
          <reference field="1" count="1" selected="0">
            <x v="40"/>
          </reference>
          <reference field="3" count="1" selected="0">
            <x v="68"/>
          </reference>
          <reference field="5" count="1">
            <x v="1"/>
          </reference>
          <reference field="16" count="1" selected="0">
            <x v="0"/>
          </reference>
          <reference field="18" count="1" selected="0">
            <x v="2"/>
          </reference>
        </references>
      </pivotArea>
    </format>
    <format dxfId="62">
      <pivotArea dataOnly="0" labelOnly="1" outline="0" fieldPosition="0">
        <references count="6">
          <reference field="0" count="1" selected="0">
            <x v="42"/>
          </reference>
          <reference field="1" count="1" selected="0">
            <x v="42"/>
          </reference>
          <reference field="3" count="1" selected="0">
            <x v="81"/>
          </reference>
          <reference field="5" count="1">
            <x v="3"/>
          </reference>
          <reference field="16" count="1" selected="0">
            <x v="0"/>
          </reference>
          <reference field="18" count="1" selected="0">
            <x v="2"/>
          </reference>
        </references>
      </pivotArea>
    </format>
    <format dxfId="61">
      <pivotArea dataOnly="0" labelOnly="1" outline="0" fieldPosition="0">
        <references count="6">
          <reference field="0" count="1" selected="0">
            <x v="42"/>
          </reference>
          <reference field="1" count="1" selected="0">
            <x v="50"/>
          </reference>
          <reference field="3" count="1" selected="0">
            <x v="89"/>
          </reference>
          <reference field="5" count="1">
            <x v="3"/>
          </reference>
          <reference field="16" count="1" selected="0">
            <x v="0"/>
          </reference>
          <reference field="18" count="1" selected="0">
            <x v="4"/>
          </reference>
        </references>
      </pivotArea>
    </format>
    <format dxfId="60">
      <pivotArea dataOnly="0" labelOnly="1" outline="0" fieldPosition="0">
        <references count="6">
          <reference field="0" count="1" selected="0">
            <x v="43"/>
          </reference>
          <reference field="1" count="1" selected="0">
            <x v="12"/>
          </reference>
          <reference field="3" count="1" selected="0">
            <x v="40"/>
          </reference>
          <reference field="5" count="1">
            <x v="4"/>
          </reference>
          <reference field="16" count="1" selected="0">
            <x v="1"/>
          </reference>
          <reference field="18" count="1" selected="0">
            <x v="0"/>
          </reference>
        </references>
      </pivotArea>
    </format>
    <format dxfId="59">
      <pivotArea dataOnly="0" labelOnly="1" outline="0" fieldPosition="0">
        <references count="6">
          <reference field="0" count="1" selected="0">
            <x v="44"/>
          </reference>
          <reference field="1" count="1" selected="0">
            <x v="45"/>
          </reference>
          <reference field="3" count="1" selected="0">
            <x v="53"/>
          </reference>
          <reference field="5" count="1">
            <x v="4"/>
          </reference>
          <reference field="16" count="1" selected="0">
            <x v="1"/>
          </reference>
          <reference field="18" count="1" selected="0">
            <x v="0"/>
          </reference>
        </references>
      </pivotArea>
    </format>
    <format dxfId="58">
      <pivotArea dataOnly="0" labelOnly="1" outline="0" fieldPosition="0">
        <references count="6">
          <reference field="0" count="1" selected="0">
            <x v="44"/>
          </reference>
          <reference field="1" count="1" selected="0">
            <x v="63"/>
          </reference>
          <reference field="3" count="1" selected="0">
            <x v="76"/>
          </reference>
          <reference field="5" count="1">
            <x v="0"/>
          </reference>
          <reference field="16" count="1" selected="0">
            <x v="1"/>
          </reference>
          <reference field="18" count="1" selected="0">
            <x v="4"/>
          </reference>
        </references>
      </pivotArea>
    </format>
    <format dxfId="57">
      <pivotArea dataOnly="0" labelOnly="1" outline="0" fieldPosition="0">
        <references count="6">
          <reference field="0" count="1" selected="0">
            <x v="45"/>
          </reference>
          <reference field="1" count="1" selected="0">
            <x v="34"/>
          </reference>
          <reference field="3" count="1" selected="0">
            <x v="50"/>
          </reference>
          <reference field="5" count="1">
            <x v="4"/>
          </reference>
          <reference field="16" count="1" selected="0">
            <x v="1"/>
          </reference>
          <reference field="18" count="1" selected="0">
            <x v="0"/>
          </reference>
        </references>
      </pivotArea>
    </format>
    <format dxfId="56">
      <pivotArea dataOnly="0" labelOnly="1" outline="0" fieldPosition="0">
        <references count="6">
          <reference field="0" count="1" selected="0">
            <x v="46"/>
          </reference>
          <reference field="1" count="1" selected="0">
            <x v="19"/>
          </reference>
          <reference field="3" count="1" selected="0">
            <x v="36"/>
          </reference>
          <reference field="5" count="1">
            <x v="4"/>
          </reference>
          <reference field="16" count="1" selected="0">
            <x v="1"/>
          </reference>
          <reference field="18" count="1" selected="0">
            <x v="0"/>
          </reference>
        </references>
      </pivotArea>
    </format>
    <format dxfId="55">
      <pivotArea dataOnly="0" labelOnly="1" outline="0" fieldPosition="0">
        <references count="6">
          <reference field="0" count="1" selected="0">
            <x v="47"/>
          </reference>
          <reference field="1" count="1" selected="0">
            <x v="1"/>
          </reference>
          <reference field="3" count="1" selected="0">
            <x v="2"/>
          </reference>
          <reference field="5" count="1">
            <x v="4"/>
          </reference>
          <reference field="16" count="1" selected="0">
            <x v="1"/>
          </reference>
          <reference field="18" count="1" selected="0">
            <x v="0"/>
          </reference>
        </references>
      </pivotArea>
    </format>
    <format dxfId="54">
      <pivotArea dataOnly="0" labelOnly="1" outline="0" fieldPosition="0">
        <references count="6">
          <reference field="0" count="1" selected="0">
            <x v="48"/>
          </reference>
          <reference field="1" count="1" selected="0">
            <x v="41"/>
          </reference>
          <reference field="3" count="1" selected="0">
            <x v="20"/>
          </reference>
          <reference field="5" count="1">
            <x v="4"/>
          </reference>
          <reference field="16" count="1" selected="0">
            <x v="1"/>
          </reference>
          <reference field="18" count="1" selected="0">
            <x v="0"/>
          </reference>
        </references>
      </pivotArea>
    </format>
    <format dxfId="53">
      <pivotArea dataOnly="0" labelOnly="1" outline="0" fieldPosition="0">
        <references count="6">
          <reference field="0" count="1" selected="0">
            <x v="49"/>
          </reference>
          <reference field="1" count="1" selected="0">
            <x v="2"/>
          </reference>
          <reference field="3" count="1" selected="0">
            <x v="55"/>
          </reference>
          <reference field="5" count="1">
            <x v="4"/>
          </reference>
          <reference field="16" count="1" selected="0">
            <x v="1"/>
          </reference>
          <reference field="18" count="1" selected="0">
            <x v="0"/>
          </reference>
        </references>
      </pivotArea>
    </format>
    <format dxfId="52">
      <pivotArea dataOnly="0" labelOnly="1" outline="0" fieldPosition="0">
        <references count="6">
          <reference field="0" count="1" selected="0">
            <x v="50"/>
          </reference>
          <reference field="1" count="1" selected="0">
            <x v="54"/>
          </reference>
          <reference field="3" count="1" selected="0">
            <x v="47"/>
          </reference>
          <reference field="5" count="1">
            <x v="4"/>
          </reference>
          <reference field="16" count="1" selected="0">
            <x v="1"/>
          </reference>
          <reference field="18" count="1" selected="0">
            <x v="0"/>
          </reference>
        </references>
      </pivotArea>
    </format>
    <format dxfId="51">
      <pivotArea dataOnly="0" labelOnly="1" outline="0" fieldPosition="0">
        <references count="6">
          <reference field="0" count="1" selected="0">
            <x v="50"/>
          </reference>
          <reference field="1" count="1" selected="0">
            <x v="67"/>
          </reference>
          <reference field="3" count="1" selected="0">
            <x v="72"/>
          </reference>
          <reference field="5" count="1">
            <x v="0"/>
          </reference>
          <reference field="16" count="1" selected="0">
            <x v="1"/>
          </reference>
          <reference field="18" count="1" selected="0">
            <x v="4"/>
          </reference>
        </references>
      </pivotArea>
    </format>
    <format dxfId="50">
      <pivotArea dataOnly="0" labelOnly="1" outline="0" fieldPosition="0">
        <references count="6">
          <reference field="0" count="1" selected="0">
            <x v="51"/>
          </reference>
          <reference field="1" count="1" selected="0">
            <x v="3"/>
          </reference>
          <reference field="3" count="1" selected="0">
            <x v="42"/>
          </reference>
          <reference field="5" count="1">
            <x v="4"/>
          </reference>
          <reference field="16" count="1" selected="0">
            <x v="1"/>
          </reference>
          <reference field="18" count="1" selected="0">
            <x v="0"/>
          </reference>
        </references>
      </pivotArea>
    </format>
    <format dxfId="49">
      <pivotArea dataOnly="0" labelOnly="1" outline="0" fieldPosition="0">
        <references count="6">
          <reference field="0" count="1" selected="0">
            <x v="52"/>
          </reference>
          <reference field="1" count="1" selected="0">
            <x v="3"/>
          </reference>
          <reference field="3" count="1" selected="0">
            <x v="52"/>
          </reference>
          <reference field="5" count="1">
            <x v="0"/>
          </reference>
          <reference field="16" count="1" selected="0">
            <x v="1"/>
          </reference>
          <reference field="18" count="1" selected="0">
            <x v="1"/>
          </reference>
        </references>
      </pivotArea>
    </format>
    <format dxfId="48">
      <pivotArea dataOnly="0" labelOnly="1" outline="0" fieldPosition="0">
        <references count="6">
          <reference field="0" count="1" selected="0">
            <x v="53"/>
          </reference>
          <reference field="1" count="1" selected="0">
            <x v="4"/>
          </reference>
          <reference field="3" count="1" selected="0">
            <x v="21"/>
          </reference>
          <reference field="5" count="1">
            <x v="4"/>
          </reference>
          <reference field="16" count="1" selected="0">
            <x v="1"/>
          </reference>
          <reference field="18" count="1" selected="0">
            <x v="0"/>
          </reference>
        </references>
      </pivotArea>
    </format>
    <format dxfId="47">
      <pivotArea dataOnly="0" labelOnly="1" outline="0" fieldPosition="0">
        <references count="6">
          <reference field="0" count="1" selected="0">
            <x v="54"/>
          </reference>
          <reference field="1" count="1" selected="0">
            <x v="39"/>
          </reference>
          <reference field="3" count="1" selected="0">
            <x v="12"/>
          </reference>
          <reference field="5" count="1">
            <x v="4"/>
          </reference>
          <reference field="16" count="1" selected="0">
            <x v="1"/>
          </reference>
          <reference field="18" count="1" selected="0">
            <x v="0"/>
          </reference>
        </references>
      </pivotArea>
    </format>
    <format dxfId="46">
      <pivotArea dataOnly="0" labelOnly="1" outline="0" fieldPosition="0">
        <references count="6">
          <reference field="0" count="1" selected="0">
            <x v="55"/>
          </reference>
          <reference field="1" count="1" selected="0">
            <x v="37"/>
          </reference>
          <reference field="3" count="1" selected="0">
            <x v="1"/>
          </reference>
          <reference field="5" count="1">
            <x v="4"/>
          </reference>
          <reference field="16" count="1" selected="0">
            <x v="1"/>
          </reference>
          <reference field="18" count="1" selected="0">
            <x v="0"/>
          </reference>
        </references>
      </pivotArea>
    </format>
    <format dxfId="45">
      <pivotArea dataOnly="0" labelOnly="1" outline="0" fieldPosition="0">
        <references count="6">
          <reference field="0" count="1" selected="0">
            <x v="56"/>
          </reference>
          <reference field="1" count="1" selected="0">
            <x v="29"/>
          </reference>
          <reference field="3" count="1" selected="0">
            <x v="22"/>
          </reference>
          <reference field="5" count="1">
            <x v="4"/>
          </reference>
          <reference field="16" count="1" selected="0">
            <x v="1"/>
          </reference>
          <reference field="18" count="1" selected="0">
            <x v="0"/>
          </reference>
        </references>
      </pivotArea>
    </format>
    <format dxfId="44">
      <pivotArea dataOnly="0" labelOnly="1" outline="0" fieldPosition="0">
        <references count="6">
          <reference field="0" count="1" selected="0">
            <x v="56"/>
          </reference>
          <reference field="1" count="1" selected="0">
            <x v="41"/>
          </reference>
          <reference field="3" count="1" selected="0">
            <x v="59"/>
          </reference>
          <reference field="5" count="1">
            <x v="0"/>
          </reference>
          <reference field="16" count="1" selected="0">
            <x v="1"/>
          </reference>
          <reference field="18" count="1" selected="0">
            <x v="2"/>
          </reference>
        </references>
      </pivotArea>
    </format>
    <format dxfId="43">
      <pivotArea dataOnly="0" labelOnly="1" outline="0" fieldPosition="0">
        <references count="6">
          <reference field="0" count="1" selected="0">
            <x v="56"/>
          </reference>
          <reference field="1" count="1" selected="0">
            <x v="49"/>
          </reference>
          <reference field="3" count="1" selected="0">
            <x v="69"/>
          </reference>
          <reference field="5" count="1">
            <x v="0"/>
          </reference>
          <reference field="16" count="1" selected="0">
            <x v="1"/>
          </reference>
          <reference field="18" count="1" selected="0">
            <x v="4"/>
          </reference>
        </references>
      </pivotArea>
    </format>
    <format dxfId="42">
      <pivotArea dataOnly="0" labelOnly="1" outline="0" fieldPosition="0">
        <references count="6">
          <reference field="0" count="1" selected="0">
            <x v="57"/>
          </reference>
          <reference field="1" count="1" selected="0">
            <x v="35"/>
          </reference>
          <reference field="3" count="1" selected="0">
            <x v="5"/>
          </reference>
          <reference field="5" count="1">
            <x v="4"/>
          </reference>
          <reference field="16" count="1" selected="0">
            <x v="1"/>
          </reference>
          <reference field="18" count="1" selected="0">
            <x v="0"/>
          </reference>
        </references>
      </pivotArea>
    </format>
    <format dxfId="41">
      <pivotArea dataOnly="0" labelOnly="1" outline="0" fieldPosition="0">
        <references count="6">
          <reference field="0" count="1" selected="0">
            <x v="57"/>
          </reference>
          <reference field="1" count="1" selected="0">
            <x v="45"/>
          </reference>
          <reference field="3" count="1" selected="0">
            <x v="49"/>
          </reference>
          <reference field="5" count="1">
            <x v="4"/>
          </reference>
          <reference field="16" count="1" selected="0">
            <x v="1"/>
          </reference>
          <reference field="18" count="1" selected="0">
            <x v="0"/>
          </reference>
        </references>
      </pivotArea>
    </format>
    <format dxfId="40">
      <pivotArea dataOnly="0" labelOnly="1" outline="0" fieldPosition="0">
        <references count="6">
          <reference field="0" count="1" selected="0">
            <x v="57"/>
          </reference>
          <reference field="1" count="1" selected="0">
            <x v="63"/>
          </reference>
          <reference field="3" count="1" selected="0">
            <x v="74"/>
          </reference>
          <reference field="5" count="1">
            <x v="0"/>
          </reference>
          <reference field="16" count="1" selected="0">
            <x v="1"/>
          </reference>
          <reference field="18" count="1" selected="0">
            <x v="4"/>
          </reference>
        </references>
      </pivotArea>
    </format>
    <format dxfId="39">
      <pivotArea dataOnly="0" labelOnly="1" outline="0" fieldPosition="0">
        <references count="6">
          <reference field="0" count="1" selected="0">
            <x v="57"/>
          </reference>
          <reference field="1" count="1" selected="0">
            <x v="70"/>
          </reference>
          <reference field="3" count="1" selected="0">
            <x v="93"/>
          </reference>
          <reference field="5" count="1">
            <x v="3"/>
          </reference>
          <reference field="16" count="1" selected="0">
            <x v="0"/>
          </reference>
          <reference field="18" count="1" selected="0">
            <x v="4"/>
          </reference>
        </references>
      </pivotArea>
    </format>
    <format dxfId="38">
      <pivotArea dataOnly="0" labelOnly="1" outline="0" fieldPosition="0">
        <references count="6">
          <reference field="0" count="1" selected="0">
            <x v="58"/>
          </reference>
          <reference field="1" count="1" selected="0">
            <x v="25"/>
          </reference>
          <reference field="3" count="1" selected="0">
            <x v="27"/>
          </reference>
          <reference field="5" count="1">
            <x v="4"/>
          </reference>
          <reference field="16" count="1" selected="0">
            <x v="1"/>
          </reference>
          <reference field="18" count="1" selected="0">
            <x v="0"/>
          </reference>
        </references>
      </pivotArea>
    </format>
    <format dxfId="37">
      <pivotArea dataOnly="0" labelOnly="1" outline="0" fieldPosition="0">
        <references count="6">
          <reference field="0" count="1" selected="0">
            <x v="59"/>
          </reference>
          <reference field="1" count="1" selected="0">
            <x v="14"/>
          </reference>
          <reference field="3" count="1" selected="0">
            <x v="48"/>
          </reference>
          <reference field="5" count="1">
            <x v="4"/>
          </reference>
          <reference field="16" count="1" selected="0">
            <x v="1"/>
          </reference>
          <reference field="18" count="1" selected="0">
            <x v="0"/>
          </reference>
        </references>
      </pivotArea>
    </format>
    <format dxfId="36">
      <pivotArea dataOnly="0" labelOnly="1" outline="0" fieldPosition="0">
        <references count="6">
          <reference field="0" count="1" selected="0">
            <x v="60"/>
          </reference>
          <reference field="1" count="1" selected="0">
            <x v="9"/>
          </reference>
          <reference field="3" count="1" selected="0">
            <x v="39"/>
          </reference>
          <reference field="5" count="1">
            <x v="4"/>
          </reference>
          <reference field="16" count="1" selected="0">
            <x v="1"/>
          </reference>
          <reference field="18" count="1" selected="0">
            <x v="0"/>
          </reference>
        </references>
      </pivotArea>
    </format>
    <format dxfId="35">
      <pivotArea dataOnly="0" labelOnly="1" outline="0" fieldPosition="0">
        <references count="6">
          <reference field="0" count="1" selected="0">
            <x v="61"/>
          </reference>
          <reference field="1" count="1" selected="0">
            <x v="21"/>
          </reference>
          <reference field="3" count="1" selected="0">
            <x v="17"/>
          </reference>
          <reference field="5" count="1">
            <x v="4"/>
          </reference>
          <reference field="16" count="1" selected="0">
            <x v="1"/>
          </reference>
          <reference field="18" count="1" selected="0">
            <x v="0"/>
          </reference>
        </references>
      </pivotArea>
    </format>
    <format dxfId="34">
      <pivotArea dataOnly="0" labelOnly="1" outline="0" fieldPosition="0">
        <references count="6">
          <reference field="0" count="1" selected="0">
            <x v="62"/>
          </reference>
          <reference field="1" count="1" selected="0">
            <x v="5"/>
          </reference>
          <reference field="3" count="1" selected="0">
            <x v="12"/>
          </reference>
          <reference field="5" count="1">
            <x v="4"/>
          </reference>
          <reference field="16" count="1" selected="0">
            <x v="1"/>
          </reference>
          <reference field="18" count="1" selected="0">
            <x v="0"/>
          </reference>
        </references>
      </pivotArea>
    </format>
    <format dxfId="33">
      <pivotArea dataOnly="0" labelOnly="1" outline="0" fieldPosition="0">
        <references count="6">
          <reference field="0" count="1" selected="0">
            <x v="63"/>
          </reference>
          <reference field="1" count="1" selected="0">
            <x v="5"/>
          </reference>
          <reference field="3" count="1" selected="0">
            <x v="2"/>
          </reference>
          <reference field="5" count="1">
            <x v="4"/>
          </reference>
          <reference field="16" count="1" selected="0">
            <x v="1"/>
          </reference>
          <reference field="18" count="1" selected="0">
            <x v="0"/>
          </reference>
        </references>
      </pivotArea>
    </format>
    <format dxfId="32">
      <pivotArea dataOnly="0" labelOnly="1" outline="0" fieldPosition="0">
        <references count="6">
          <reference field="0" count="1" selected="0">
            <x v="63"/>
          </reference>
          <reference field="1" count="1" selected="0">
            <x v="25"/>
          </reference>
          <reference field="3" count="1" selected="0">
            <x v="67"/>
          </reference>
          <reference field="5" count="1">
            <x v="0"/>
          </reference>
          <reference field="16" count="1" selected="0">
            <x v="1"/>
          </reference>
          <reference field="18" count="1" selected="0">
            <x v="4"/>
          </reference>
        </references>
      </pivotArea>
    </format>
    <format dxfId="31">
      <pivotArea dataOnly="0" labelOnly="1" outline="0" fieldPosition="0">
        <references count="6">
          <reference field="0" count="1" selected="0">
            <x v="63"/>
          </reference>
          <reference field="1" count="1" selected="0">
            <x v="37"/>
          </reference>
          <reference field="3" count="1" selected="0">
            <x v="88"/>
          </reference>
          <reference field="5" count="1">
            <x v="3"/>
          </reference>
          <reference field="16" count="1" selected="0">
            <x v="0"/>
          </reference>
          <reference field="18" count="1" selected="0">
            <x v="4"/>
          </reference>
        </references>
      </pivotArea>
    </format>
    <format dxfId="30">
      <pivotArea dataOnly="0" labelOnly="1" outline="0" fieldPosition="0">
        <references count="6">
          <reference field="0" count="1" selected="0">
            <x v="64"/>
          </reference>
          <reference field="1" count="1" selected="0">
            <x v="10"/>
          </reference>
          <reference field="3" count="1" selected="0">
            <x v="23"/>
          </reference>
          <reference field="5" count="1">
            <x v="4"/>
          </reference>
          <reference field="16" count="1" selected="0">
            <x v="1"/>
          </reference>
          <reference field="18" count="1" selected="0">
            <x v="0"/>
          </reference>
        </references>
      </pivotArea>
    </format>
    <format dxfId="29">
      <pivotArea dataOnly="0" labelOnly="1" outline="0" fieldPosition="0">
        <references count="6">
          <reference field="0" count="1" selected="0">
            <x v="65"/>
          </reference>
          <reference field="1" count="1" selected="0">
            <x v="26"/>
          </reference>
          <reference field="3" count="1" selected="0">
            <x v="25"/>
          </reference>
          <reference field="5" count="1">
            <x v="4"/>
          </reference>
          <reference field="16" count="1" selected="0">
            <x v="1"/>
          </reference>
          <reference field="18" count="1" selected="0">
            <x v="0"/>
          </reference>
        </references>
      </pivotArea>
    </format>
    <format dxfId="28">
      <pivotArea dataOnly="0" labelOnly="1" outline="0" fieldPosition="0">
        <references count="6">
          <reference field="0" count="1" selected="0">
            <x v="65"/>
          </reference>
          <reference field="1" count="1" selected="0">
            <x v="41"/>
          </reference>
          <reference field="3" count="1" selected="0">
            <x v="60"/>
          </reference>
          <reference field="5" count="1">
            <x v="0"/>
          </reference>
          <reference field="16" count="1" selected="0">
            <x v="1"/>
          </reference>
          <reference field="18" count="1" selected="0">
            <x v="2"/>
          </reference>
        </references>
      </pivotArea>
    </format>
    <format dxfId="27">
      <pivotArea dataOnly="0" labelOnly="1" outline="0" fieldPosition="0">
        <references count="6">
          <reference field="0" count="1" selected="0">
            <x v="65"/>
          </reference>
          <reference field="1" count="1" selected="0">
            <x v="48"/>
          </reference>
          <reference field="3" count="1" selected="0">
            <x v="65"/>
          </reference>
          <reference field="5" count="1">
            <x v="0"/>
          </reference>
          <reference field="16" count="1" selected="0">
            <x v="1"/>
          </reference>
          <reference field="18" count="1" selected="0">
            <x v="3"/>
          </reference>
        </references>
      </pivotArea>
    </format>
    <format dxfId="26">
      <pivotArea dataOnly="0" labelOnly="1" outline="0" fieldPosition="0">
        <references count="6">
          <reference field="0" count="1" selected="0">
            <x v="66"/>
          </reference>
          <reference field="1" count="1" selected="0">
            <x v="35"/>
          </reference>
          <reference field="3" count="1" selected="0">
            <x v="8"/>
          </reference>
          <reference field="5" count="1">
            <x v="4"/>
          </reference>
          <reference field="16" count="1" selected="0">
            <x v="1"/>
          </reference>
          <reference field="18" count="1" selected="0">
            <x v="0"/>
          </reference>
        </references>
      </pivotArea>
    </format>
    <format dxfId="25">
      <pivotArea dataOnly="0" labelOnly="1" outline="0" fieldPosition="0">
        <references count="6">
          <reference field="0" count="1" selected="0">
            <x v="67"/>
          </reference>
          <reference field="1" count="1" selected="0">
            <x v="35"/>
          </reference>
          <reference field="3" count="1" selected="0">
            <x v="21"/>
          </reference>
          <reference field="5" count="1">
            <x v="4"/>
          </reference>
          <reference field="16" count="1" selected="0">
            <x v="1"/>
          </reference>
          <reference field="18" count="1" selected="0">
            <x v="0"/>
          </reference>
        </references>
      </pivotArea>
    </format>
    <format dxfId="24">
      <pivotArea dataOnly="0" labelOnly="1" outline="0" fieldPosition="0">
        <references count="6">
          <reference field="0" count="1" selected="0">
            <x v="68"/>
          </reference>
          <reference field="1" count="1" selected="0">
            <x v="22"/>
          </reference>
          <reference field="3" count="1" selected="0">
            <x v="51"/>
          </reference>
          <reference field="5" count="1">
            <x v="4"/>
          </reference>
          <reference field="16" count="1" selected="0">
            <x v="1"/>
          </reference>
          <reference field="18" count="1" selected="0">
            <x v="0"/>
          </reference>
        </references>
      </pivotArea>
    </format>
    <format dxfId="23">
      <pivotArea dataOnly="0" labelOnly="1" outline="0" fieldPosition="0">
        <references count="6">
          <reference field="0" count="1" selected="0">
            <x v="69"/>
          </reference>
          <reference field="1" count="1" selected="0">
            <x v="44"/>
          </reference>
          <reference field="3" count="1" selected="0">
            <x v="46"/>
          </reference>
          <reference field="5" count="1">
            <x v="4"/>
          </reference>
          <reference field="16" count="1" selected="0">
            <x v="1"/>
          </reference>
          <reference field="18" count="1" selected="0">
            <x v="0"/>
          </reference>
        </references>
      </pivotArea>
    </format>
    <format dxfId="22">
      <pivotArea dataOnly="0" labelOnly="1" outline="0" fieldPosition="0">
        <references count="6">
          <reference field="0" count="1" selected="0">
            <x v="70"/>
          </reference>
          <reference field="1" count="1" selected="0">
            <x v="44"/>
          </reference>
          <reference field="3" count="1" selected="0">
            <x v="45"/>
          </reference>
          <reference field="5" count="1">
            <x v="4"/>
          </reference>
          <reference field="16" count="1" selected="0">
            <x v="1"/>
          </reference>
          <reference field="18" count="1" selected="0">
            <x v="0"/>
          </reference>
        </references>
      </pivotArea>
    </format>
    <format dxfId="21">
      <pivotArea dataOnly="0" labelOnly="1" outline="0" fieldPosition="0">
        <references count="6">
          <reference field="0" count="1" selected="0">
            <x v="71"/>
          </reference>
          <reference field="1" count="1" selected="0">
            <x v="43"/>
          </reference>
          <reference field="3" count="1" selected="0">
            <x v="44"/>
          </reference>
          <reference field="5" count="1">
            <x v="4"/>
          </reference>
          <reference field="16" count="1" selected="0">
            <x v="1"/>
          </reference>
          <reference field="18" count="1" selected="0">
            <x v="0"/>
          </reference>
        </references>
      </pivotArea>
    </format>
    <format dxfId="20">
      <pivotArea dataOnly="0" labelOnly="1" outline="0" fieldPosition="0">
        <references count="6">
          <reference field="0" count="1" selected="0">
            <x v="71"/>
          </reference>
          <reference field="1" count="1" selected="0">
            <x v="53"/>
          </reference>
          <reference field="3" count="1" selected="0">
            <x v="63"/>
          </reference>
          <reference field="5" count="1">
            <x v="0"/>
          </reference>
          <reference field="16" count="1" selected="0">
            <x v="1"/>
          </reference>
          <reference field="18" count="1" selected="0">
            <x v="2"/>
          </reference>
        </references>
      </pivotArea>
    </format>
    <format dxfId="19">
      <pivotArea dataOnly="0" labelOnly="1" outline="0" fieldPosition="0">
        <references count="6">
          <reference field="0" count="1" selected="0">
            <x v="71"/>
          </reference>
          <reference field="1" count="1" selected="0">
            <x v="62"/>
          </reference>
          <reference field="3" count="1" selected="0">
            <x v="71"/>
          </reference>
          <reference field="5" count="1">
            <x v="0"/>
          </reference>
          <reference field="16" count="1" selected="0">
            <x v="1"/>
          </reference>
          <reference field="18" count="1" selected="0">
            <x v="4"/>
          </reference>
        </references>
      </pivotArea>
    </format>
    <format dxfId="18">
      <pivotArea dataOnly="0" labelOnly="1" outline="0" fieldPosition="0">
        <references count="6">
          <reference field="0" count="1" selected="0">
            <x v="71"/>
          </reference>
          <reference field="1" count="1" selected="0">
            <x v="68"/>
          </reference>
          <reference field="3" count="1" selected="0">
            <x v="84"/>
          </reference>
          <reference field="5" count="1">
            <x v="2"/>
          </reference>
          <reference field="16" count="1" selected="0">
            <x v="0"/>
          </reference>
          <reference field="18" count="1" selected="0">
            <x v="4"/>
          </reference>
        </references>
      </pivotArea>
    </format>
    <format dxfId="17">
      <pivotArea dataOnly="0" labelOnly="1" outline="0" fieldPosition="0">
        <references count="6">
          <reference field="0" count="1" selected="0">
            <x v="71"/>
          </reference>
          <reference field="1" count="1" selected="0">
            <x v="72"/>
          </reference>
          <reference field="3" count="1" selected="0">
            <x v="91"/>
          </reference>
          <reference field="5" count="1">
            <x v="3"/>
          </reference>
          <reference field="16" count="1" selected="0">
            <x v="0"/>
          </reference>
          <reference field="18" count="1" selected="0">
            <x v="4"/>
          </reference>
        </references>
      </pivotArea>
    </format>
    <format dxfId="16">
      <pivotArea dataOnly="0" labelOnly="1" outline="0" fieldPosition="0">
        <references count="6">
          <reference field="0" count="1" selected="0">
            <x v="72"/>
          </reference>
          <reference field="1" count="1" selected="0">
            <x v="31"/>
          </reference>
          <reference field="3" count="1" selected="0">
            <x v="48"/>
          </reference>
          <reference field="5" count="1">
            <x v="4"/>
          </reference>
          <reference field="16" count="1" selected="0">
            <x v="1"/>
          </reference>
          <reference field="18" count="1" selected="0">
            <x v="0"/>
          </reference>
        </references>
      </pivotArea>
    </format>
    <format dxfId="15">
      <pivotArea dataOnly="0" labelOnly="1" outline="0" fieldPosition="0">
        <references count="6">
          <reference field="0" count="1" selected="0">
            <x v="73"/>
          </reference>
          <reference field="1" count="1" selected="0">
            <x v="23"/>
          </reference>
          <reference field="3" count="1" selected="0">
            <x v="8"/>
          </reference>
          <reference field="5" count="1">
            <x v="4"/>
          </reference>
          <reference field="16" count="1" selected="0">
            <x v="1"/>
          </reference>
          <reference field="18" count="1" selected="0">
            <x v="0"/>
          </reference>
        </references>
      </pivotArea>
    </format>
    <format dxfId="14">
      <pivotArea outline="0" fieldPosition="0">
        <references count="1">
          <reference field="4294967294" count="1" selected="0">
            <x v="0"/>
          </reference>
        </references>
      </pivotArea>
    </format>
    <format dxfId="13">
      <pivotArea outline="0" fieldPosition="0">
        <references count="1">
          <reference field="4294967294" count="1" selected="0">
            <x v="3"/>
          </reference>
        </references>
      </pivotArea>
    </format>
    <format dxfId="12">
      <pivotArea outline="0" fieldPosition="0">
        <references count="1">
          <reference field="4294967294" count="1" selected="0">
            <x v="1"/>
          </reference>
        </references>
      </pivotArea>
    </format>
    <format dxfId="11">
      <pivotArea outline="0" fieldPosition="0">
        <references count="1">
          <reference field="4294967294" count="1" selected="0">
            <x v="2"/>
          </reference>
        </references>
      </pivotArea>
    </format>
    <format dxfId="10">
      <pivotArea field="0" type="button" dataOnly="0" labelOnly="1" outline="0" axis="axisRow" fieldPosition="0"/>
    </format>
    <format dxfId="9">
      <pivotArea field="1" type="button" dataOnly="0" labelOnly="1" outline="0" axis="axisRow" fieldPosition="1"/>
    </format>
    <format dxfId="8">
      <pivotArea field="3" type="button" dataOnly="0" labelOnly="1" outline="0" axis="axisRow" fieldPosition="2"/>
    </format>
    <format dxfId="7">
      <pivotArea field="16" type="button" dataOnly="0" labelOnly="1" outline="0" axis="axisRow" fieldPosition="3"/>
    </format>
    <format dxfId="6">
      <pivotArea field="18" type="button" dataOnly="0" labelOnly="1" outline="0" axis="axisRow" fieldPosition="4"/>
    </format>
    <format dxfId="5">
      <pivotArea field="5" type="button" dataOnly="0" labelOnly="1" outline="0" axis="axisRow" fieldPosition="5"/>
    </format>
    <format dxfId="4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3">
      <pivotArea field="3" type="button" dataOnly="0" labelOnly="1" outline="0" axis="axisRow" fieldPosition="2"/>
    </format>
    <format dxfId="2">
      <pivotArea field="3" type="button" dataOnly="0" labelOnly="1" outline="0" axis="axisRow" fieldPosition="2"/>
    </format>
    <format dxfId="1">
      <pivotArea field="18" type="button" dataOnly="0" labelOnly="1" outline="0" axis="axisRow" fieldPosition="4"/>
    </format>
    <format dxfId="0">
      <pivotArea field="1" type="button" dataOnly="0" labelOnly="1" outline="0" axis="axisRow" fieldPosition="1"/>
    </format>
  </formats>
  <pivotTableStyleInfo name="PivotStyleMedium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FB38C7F1-99A2-4F0E-908D-1457B40C78E4}" name="Tabela34" displayName="Tabela34" ref="A1:S196" totalsRowShown="0" totalsRowDxfId="882">
  <autoFilter ref="A1:S196" xr:uid="{FB38C7F1-99A2-4F0E-908D-1457B40C78E4}"/>
  <sortState xmlns:xlrd2="http://schemas.microsoft.com/office/spreadsheetml/2017/richdata2" ref="A2:S196">
    <sortCondition ref="A1:A196"/>
  </sortState>
  <tableColumns count="19">
    <tableColumn id="1" xr3:uid="{75F05FBC-813E-4CF0-AD46-741AFA6891EB}" name="DINEK" dataDxfId="881" totalsRowDxfId="880"/>
    <tableColumn id="17" xr3:uid="{B84F908E-8900-48C4-99B6-418FD7E5A601}" name=" CENA " dataDxfId="879" totalsRowDxfId="878" dataCellStyle="Dziesiętny" totalsRowCellStyle="Dziesiętny"/>
    <tableColumn id="16" xr3:uid="{29B148F3-A5B4-4432-B90F-348BA337B9B8}" name="typ" dataDxfId="877" totalsRowDxfId="876"/>
    <tableColumn id="2" xr3:uid="{3283BB52-FA58-47B5-BF32-7FE70BD104DC}" name="LVL" dataDxfId="875" totalsRowDxfId="874">
      <calculatedColumnFormula>SUM(Tabela34[[#This Row],[HP]:[mut FOOD]])+1</calculatedColumnFormula>
    </tableColumn>
    <tableColumn id="3" xr3:uid="{1D93FBA4-0647-4697-9909-16536707DBDD}" name="HP" dataDxfId="873" totalsRowDxfId="872"/>
    <tableColumn id="4" xr3:uid="{7564CA3C-EE54-4CCF-9AB6-C478AB547994}" name="mut HP" dataDxfId="871" totalsRowDxfId="870"/>
    <tableColumn id="5" xr3:uid="{D67F4CFB-C1E5-49A4-9028-C1ED4634860E}" name="STAM" dataDxfId="869" totalsRowDxfId="868"/>
    <tableColumn id="6" xr3:uid="{F86A7786-CB59-4C7D-82E8-AF353999C595}" name="mut STAM" dataDxfId="867" totalsRowDxfId="866"/>
    <tableColumn id="7" xr3:uid="{A8A6E12B-4E6A-4FFF-AF18-27C09F567DF6}" name="WH" dataDxfId="865" totalsRowDxfId="864"/>
    <tableColumn id="8" xr3:uid="{DF96FB9B-0020-4FCB-8472-2F4ABD807D39}" name="mut WH" dataDxfId="863" totalsRowDxfId="862"/>
    <tableColumn id="9" xr3:uid="{6BB5A0F9-0C89-4BD6-A5F1-FE92683AADF2}" name="DMG" dataDxfId="861" totalsRowDxfId="860"/>
    <tableColumn id="10" xr3:uid="{A6D3E995-E8BD-4359-BF4A-3FAE960C4D89}" name="mut DMG" dataDxfId="859" totalsRowDxfId="858"/>
    <tableColumn id="11" xr3:uid="{F40520D2-9236-4068-B2BF-35C319863C34}" name="OX" dataDxfId="857" totalsRowDxfId="856"/>
    <tableColumn id="12" xr3:uid="{9C2534D3-1FC6-43FE-BE19-FD4AED33EDAA}" name="mut OX" dataDxfId="855" totalsRowDxfId="854"/>
    <tableColumn id="13" xr3:uid="{182C3063-2DAB-4E38-B8F1-BB0284C66346}" name="FOOD" dataDxfId="853" totalsRowDxfId="852"/>
    <tableColumn id="14" xr3:uid="{01694188-6CB2-464B-AF31-7FA76B9AEA2A}" name="mut FOOD" dataDxfId="851" totalsRowDxfId="850"/>
    <tableColumn id="20" xr3:uid="{FAAED04D-9AAF-4E92-B4A7-2F74AE7FE63B}" name="KASTRAT" dataDxfId="849" totalsRowDxfId="848"/>
    <tableColumn id="18" xr3:uid="{D70238EB-5C6E-4A56-9F40-B8EB955070D5}" name="DLC" dataDxfId="847" totalsRowDxfId="846"/>
    <tableColumn id="19" xr3:uid="{FDA45EA0-C0EB-44A6-B2D7-8242A52F2C98}" name="SIODLO MAX" dataDxfId="845" totalsRowDxfId="844"/>
  </tableColumns>
  <tableStyleInfo name="TableStyleMedium11" showFirstColumn="1" showLastColumn="1" showRowStripes="1" showColumnStripes="0"/>
</table>
</file>

<file path=xl/theme/theme1.xml><?xml version="1.0" encoding="utf-8"?>
<a:theme xmlns:a="http://schemas.openxmlformats.org/drawingml/2006/main" name="Motyw pakietu Office 2013–2022">
  <a:themeElements>
    <a:clrScheme name="Pakiet 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A7F62-F214-4DA5-A05F-B9187F15CDFF}">
  <dimension ref="A1:L675"/>
  <sheetViews>
    <sheetView zoomScale="115" zoomScaleNormal="115" workbookViewId="0">
      <pane ySplit="1" topLeftCell="A2" activePane="bottomLeft" state="frozen"/>
      <selection pane="bottomLeft" activeCell="L13" sqref="L13"/>
    </sheetView>
  </sheetViews>
  <sheetFormatPr defaultRowHeight="14.5" x14ac:dyDescent="0.35"/>
  <cols>
    <col min="1" max="1" width="13.453125" style="16" customWidth="1"/>
    <col min="2" max="2" width="9.90625" style="14" bestFit="1" customWidth="1"/>
    <col min="3" max="3" width="8.1796875" style="13" bestFit="1" customWidth="1"/>
    <col min="4" max="4" width="10.453125" bestFit="1" customWidth="1"/>
    <col min="5" max="5" width="6.36328125" style="11" bestFit="1" customWidth="1"/>
    <col min="6" max="6" width="11" style="13" bestFit="1" customWidth="1"/>
    <col min="7" max="7" width="6.6328125" style="24" customWidth="1"/>
    <col min="8" max="8" width="6.6328125" style="28" customWidth="1"/>
    <col min="9" max="9" width="6.6328125" style="30" customWidth="1"/>
    <col min="10" max="10" width="6.6328125" style="26" customWidth="1"/>
    <col min="11" max="12" width="6.6328125" style="22" customWidth="1"/>
  </cols>
  <sheetData>
    <row r="1" spans="1:12" s="21" customFormat="1" x14ac:dyDescent="0.35">
      <c r="A1" s="20" t="s">
        <v>0</v>
      </c>
      <c r="B1" s="32" t="s">
        <v>1</v>
      </c>
      <c r="C1" s="20" t="s">
        <v>3</v>
      </c>
      <c r="D1" s="20" t="s">
        <v>16</v>
      </c>
      <c r="E1" s="23" t="s">
        <v>101</v>
      </c>
      <c r="F1" s="20" t="s">
        <v>102</v>
      </c>
      <c r="G1" s="19" t="s">
        <v>103</v>
      </c>
      <c r="H1" s="19" t="s">
        <v>104</v>
      </c>
      <c r="I1" s="19" t="s">
        <v>105</v>
      </c>
      <c r="J1" s="19" t="s">
        <v>106</v>
      </c>
      <c r="K1" s="19" t="s">
        <v>107</v>
      </c>
      <c r="L1" s="19" t="s">
        <v>108</v>
      </c>
    </row>
    <row r="2" spans="1:12" x14ac:dyDescent="0.35">
      <c r="A2" s="17" t="s">
        <v>20</v>
      </c>
      <c r="B2"/>
      <c r="E2"/>
      <c r="F2"/>
    </row>
    <row r="3" spans="1:12" x14ac:dyDescent="0.35">
      <c r="A3" s="17"/>
      <c r="B3" s="15">
        <v>6500</v>
      </c>
      <c r="C3" s="13">
        <v>873</v>
      </c>
      <c r="D3" t="s">
        <v>99</v>
      </c>
      <c r="E3" s="12">
        <v>0</v>
      </c>
      <c r="F3" s="13" t="s">
        <v>100</v>
      </c>
      <c r="G3" s="24">
        <v>140</v>
      </c>
      <c r="H3" s="28">
        <v>139</v>
      </c>
      <c r="I3" s="30">
        <v>149</v>
      </c>
      <c r="J3" s="26">
        <v>147</v>
      </c>
      <c r="K3" s="22">
        <v>142</v>
      </c>
      <c r="L3" s="22">
        <v>155</v>
      </c>
    </row>
    <row r="4" spans="1:12" x14ac:dyDescent="0.35">
      <c r="A4" s="17"/>
      <c r="B4" s="15">
        <v>13000</v>
      </c>
      <c r="C4" s="13">
        <v>1265</v>
      </c>
      <c r="D4" t="s">
        <v>99</v>
      </c>
      <c r="E4" s="12">
        <v>4</v>
      </c>
      <c r="F4" s="13">
        <v>98</v>
      </c>
      <c r="G4" s="24">
        <v>140</v>
      </c>
      <c r="H4" s="28">
        <v>139</v>
      </c>
      <c r="I4" s="30">
        <v>149</v>
      </c>
      <c r="J4" s="26">
        <v>147</v>
      </c>
      <c r="K4" s="22">
        <v>142</v>
      </c>
      <c r="L4" s="22">
        <v>155</v>
      </c>
    </row>
    <row r="5" spans="1:12" x14ac:dyDescent="0.35">
      <c r="A5" s="17" t="s">
        <v>21</v>
      </c>
      <c r="B5"/>
      <c r="E5"/>
      <c r="F5"/>
    </row>
    <row r="6" spans="1:12" x14ac:dyDescent="0.35">
      <c r="A6" s="17"/>
      <c r="B6" s="15">
        <v>1900</v>
      </c>
      <c r="C6" s="13">
        <v>700</v>
      </c>
      <c r="D6" t="s">
        <v>99</v>
      </c>
      <c r="E6" s="12">
        <v>0</v>
      </c>
      <c r="F6" s="13" t="s">
        <v>100</v>
      </c>
      <c r="G6" s="24">
        <v>117</v>
      </c>
      <c r="H6" s="28">
        <v>144</v>
      </c>
      <c r="I6" s="30">
        <v>160</v>
      </c>
      <c r="J6" s="26">
        <v>149</v>
      </c>
      <c r="L6" s="22">
        <v>129</v>
      </c>
    </row>
    <row r="7" spans="1:12" x14ac:dyDescent="0.35">
      <c r="A7" s="17" t="s">
        <v>23</v>
      </c>
      <c r="B7"/>
      <c r="E7"/>
      <c r="F7"/>
    </row>
    <row r="8" spans="1:12" x14ac:dyDescent="0.35">
      <c r="A8" s="17"/>
      <c r="B8" s="15">
        <v>1800</v>
      </c>
      <c r="C8" s="13">
        <v>745</v>
      </c>
      <c r="D8" t="s">
        <v>99</v>
      </c>
      <c r="E8" s="12">
        <v>0</v>
      </c>
      <c r="F8" s="13" t="s">
        <v>100</v>
      </c>
      <c r="G8" s="24">
        <v>114</v>
      </c>
      <c r="H8" s="28">
        <v>123</v>
      </c>
      <c r="I8" s="30">
        <v>136</v>
      </c>
      <c r="J8" s="26">
        <v>135</v>
      </c>
      <c r="K8" s="22">
        <v>106</v>
      </c>
      <c r="L8" s="22">
        <v>130</v>
      </c>
    </row>
    <row r="9" spans="1:12" x14ac:dyDescent="0.35">
      <c r="A9" s="17" t="s">
        <v>24</v>
      </c>
      <c r="B9"/>
      <c r="E9"/>
      <c r="F9"/>
    </row>
    <row r="10" spans="1:12" x14ac:dyDescent="0.35">
      <c r="A10" s="17"/>
      <c r="B10" s="15">
        <v>3500</v>
      </c>
      <c r="C10" s="13">
        <v>773</v>
      </c>
      <c r="D10" t="s">
        <v>99</v>
      </c>
      <c r="E10" s="12">
        <v>0</v>
      </c>
      <c r="F10" s="13" t="s">
        <v>100</v>
      </c>
      <c r="G10" s="24">
        <v>152</v>
      </c>
      <c r="H10" s="28">
        <v>157</v>
      </c>
      <c r="I10" s="30">
        <v>160</v>
      </c>
      <c r="J10" s="26">
        <v>161</v>
      </c>
      <c r="L10" s="22">
        <v>142</v>
      </c>
    </row>
    <row r="11" spans="1:12" x14ac:dyDescent="0.35">
      <c r="A11" s="17" t="s">
        <v>26</v>
      </c>
      <c r="B11"/>
      <c r="E11"/>
      <c r="F11"/>
    </row>
    <row r="12" spans="1:12" x14ac:dyDescent="0.35">
      <c r="A12" s="17"/>
      <c r="B12" s="15">
        <v>1200</v>
      </c>
      <c r="C12" s="13">
        <v>774</v>
      </c>
      <c r="D12" t="s">
        <v>99</v>
      </c>
      <c r="E12" s="12">
        <v>0</v>
      </c>
      <c r="F12" s="13" t="s">
        <v>100</v>
      </c>
      <c r="G12" s="24">
        <v>132</v>
      </c>
      <c r="H12" s="28">
        <v>153</v>
      </c>
      <c r="I12" s="30">
        <v>144</v>
      </c>
      <c r="J12" s="26">
        <v>130</v>
      </c>
      <c r="K12" s="22">
        <v>116</v>
      </c>
      <c r="L12" s="22">
        <v>98</v>
      </c>
    </row>
    <row r="13" spans="1:12" x14ac:dyDescent="0.35">
      <c r="A13" s="17" t="s">
        <v>95</v>
      </c>
      <c r="B13"/>
      <c r="E13"/>
      <c r="F13"/>
    </row>
    <row r="14" spans="1:12" x14ac:dyDescent="0.35">
      <c r="A14" s="17"/>
      <c r="B14" s="15">
        <v>7500</v>
      </c>
      <c r="C14" s="13">
        <v>750</v>
      </c>
      <c r="D14" t="s">
        <v>99</v>
      </c>
      <c r="E14" s="12">
        <v>0</v>
      </c>
      <c r="F14" s="13" t="s">
        <v>100</v>
      </c>
      <c r="G14" s="24">
        <v>141</v>
      </c>
      <c r="H14" s="28">
        <v>126</v>
      </c>
      <c r="I14" s="30">
        <v>125</v>
      </c>
      <c r="J14" s="26">
        <v>131</v>
      </c>
      <c r="K14" s="22">
        <v>110</v>
      </c>
      <c r="L14" s="22">
        <v>116</v>
      </c>
    </row>
    <row r="15" spans="1:12" x14ac:dyDescent="0.35">
      <c r="A15" s="17" t="s">
        <v>27</v>
      </c>
      <c r="B15" s="11"/>
      <c r="D15" s="11"/>
      <c r="F15" s="11"/>
    </row>
    <row r="16" spans="1:12" x14ac:dyDescent="0.35">
      <c r="A16" s="17"/>
      <c r="B16" s="15">
        <v>2100</v>
      </c>
      <c r="C16" s="13">
        <v>768</v>
      </c>
      <c r="D16" t="s">
        <v>99</v>
      </c>
      <c r="E16" s="12">
        <v>0</v>
      </c>
      <c r="F16" s="13" t="s">
        <v>100</v>
      </c>
      <c r="G16" s="24">
        <v>158</v>
      </c>
      <c r="H16" s="28">
        <v>166</v>
      </c>
      <c r="I16" s="30">
        <v>152</v>
      </c>
      <c r="J16" s="26">
        <v>154</v>
      </c>
      <c r="L16" s="22">
        <v>137</v>
      </c>
    </row>
    <row r="17" spans="1:12" x14ac:dyDescent="0.35">
      <c r="A17" s="17" t="s">
        <v>28</v>
      </c>
      <c r="B17"/>
      <c r="E17"/>
      <c r="F17"/>
    </row>
    <row r="18" spans="1:12" x14ac:dyDescent="0.35">
      <c r="A18" s="17"/>
      <c r="B18" s="15">
        <v>6500</v>
      </c>
      <c r="C18" s="13">
        <v>824</v>
      </c>
      <c r="D18" t="s">
        <v>99</v>
      </c>
      <c r="E18" s="12">
        <v>0</v>
      </c>
      <c r="F18" s="13" t="s">
        <v>100</v>
      </c>
      <c r="G18" s="24">
        <v>160</v>
      </c>
      <c r="H18" s="28">
        <v>165</v>
      </c>
      <c r="I18" s="30">
        <v>173</v>
      </c>
      <c r="J18" s="26">
        <v>178</v>
      </c>
      <c r="L18" s="22">
        <v>147</v>
      </c>
    </row>
    <row r="19" spans="1:12" x14ac:dyDescent="0.35">
      <c r="A19" s="17"/>
      <c r="B19" s="15">
        <v>14000</v>
      </c>
      <c r="C19" s="13">
        <v>1216</v>
      </c>
      <c r="D19" t="s">
        <v>99</v>
      </c>
      <c r="E19" s="12">
        <v>4</v>
      </c>
      <c r="F19" s="13">
        <v>98</v>
      </c>
      <c r="G19" s="24">
        <v>160</v>
      </c>
      <c r="H19" s="28">
        <v>165</v>
      </c>
      <c r="I19" s="30">
        <v>173</v>
      </c>
      <c r="J19" s="26">
        <v>178</v>
      </c>
      <c r="L19" s="22">
        <v>147</v>
      </c>
    </row>
    <row r="20" spans="1:12" x14ac:dyDescent="0.35">
      <c r="A20" s="17"/>
      <c r="B20" s="15">
        <v>16000</v>
      </c>
      <c r="C20" s="13">
        <v>1464</v>
      </c>
      <c r="D20" t="s">
        <v>16</v>
      </c>
      <c r="E20" s="12">
        <v>4</v>
      </c>
      <c r="F20" s="13">
        <v>160</v>
      </c>
      <c r="G20" s="24">
        <v>160</v>
      </c>
      <c r="H20" s="28">
        <v>165</v>
      </c>
      <c r="I20" s="30">
        <v>173</v>
      </c>
      <c r="J20" s="26">
        <v>178</v>
      </c>
      <c r="L20" s="22">
        <v>147</v>
      </c>
    </row>
    <row r="21" spans="1:12" x14ac:dyDescent="0.35">
      <c r="A21" s="17"/>
      <c r="B21" s="15">
        <v>19200</v>
      </c>
      <c r="C21" s="13">
        <v>1844</v>
      </c>
      <c r="D21" t="s">
        <v>16</v>
      </c>
      <c r="E21" s="12">
        <v>4</v>
      </c>
      <c r="F21" s="13">
        <v>255</v>
      </c>
      <c r="G21" s="24">
        <v>160</v>
      </c>
      <c r="H21" s="28">
        <v>165</v>
      </c>
      <c r="I21" s="30">
        <v>173</v>
      </c>
      <c r="J21" s="26">
        <v>178</v>
      </c>
      <c r="L21" s="22">
        <v>147</v>
      </c>
    </row>
    <row r="22" spans="1:12" x14ac:dyDescent="0.35">
      <c r="A22" s="17" t="s">
        <v>29</v>
      </c>
      <c r="B22"/>
      <c r="E22"/>
      <c r="F22"/>
    </row>
    <row r="23" spans="1:12" x14ac:dyDescent="0.35">
      <c r="A23" s="17"/>
      <c r="B23" s="15">
        <v>4750</v>
      </c>
      <c r="C23" s="13">
        <v>771</v>
      </c>
      <c r="D23" t="s">
        <v>99</v>
      </c>
      <c r="E23" s="12">
        <v>0</v>
      </c>
      <c r="F23" s="13" t="s">
        <v>100</v>
      </c>
      <c r="G23" s="24">
        <v>155</v>
      </c>
      <c r="H23" s="28">
        <v>152</v>
      </c>
      <c r="I23" s="30">
        <v>163</v>
      </c>
      <c r="J23" s="26">
        <v>154</v>
      </c>
      <c r="L23" s="22">
        <v>146</v>
      </c>
    </row>
    <row r="24" spans="1:12" x14ac:dyDescent="0.35">
      <c r="A24" s="17" t="s">
        <v>30</v>
      </c>
      <c r="B24"/>
      <c r="E24"/>
      <c r="F24"/>
    </row>
    <row r="25" spans="1:12" x14ac:dyDescent="0.35">
      <c r="A25" s="17"/>
      <c r="B25" s="15">
        <v>1500</v>
      </c>
      <c r="C25" s="13">
        <v>758</v>
      </c>
      <c r="D25" t="s">
        <v>99</v>
      </c>
      <c r="E25" s="12">
        <v>0</v>
      </c>
      <c r="F25" s="13" t="s">
        <v>100</v>
      </c>
      <c r="G25" s="24">
        <v>161</v>
      </c>
      <c r="H25" s="28">
        <v>140</v>
      </c>
      <c r="I25" s="30">
        <v>170</v>
      </c>
      <c r="J25" s="26">
        <v>155</v>
      </c>
      <c r="L25" s="22">
        <v>131</v>
      </c>
    </row>
    <row r="26" spans="1:12" x14ac:dyDescent="0.35">
      <c r="A26" s="17" t="s">
        <v>31</v>
      </c>
      <c r="B26"/>
      <c r="E26"/>
      <c r="F26"/>
    </row>
    <row r="27" spans="1:12" x14ac:dyDescent="0.35">
      <c r="A27" s="17"/>
      <c r="B27" s="15">
        <v>7000</v>
      </c>
      <c r="C27" s="13">
        <v>792</v>
      </c>
      <c r="D27" t="s">
        <v>99</v>
      </c>
      <c r="E27" s="12">
        <v>0</v>
      </c>
      <c r="F27" s="13" t="s">
        <v>100</v>
      </c>
      <c r="G27" s="24">
        <v>146</v>
      </c>
      <c r="H27" s="28">
        <v>125</v>
      </c>
      <c r="I27" s="30">
        <v>139</v>
      </c>
      <c r="J27" s="26">
        <v>139</v>
      </c>
      <c r="K27" s="22">
        <v>110</v>
      </c>
      <c r="L27" s="22">
        <v>132</v>
      </c>
    </row>
    <row r="28" spans="1:12" x14ac:dyDescent="0.35">
      <c r="A28" s="17" t="s">
        <v>32</v>
      </c>
      <c r="B28"/>
      <c r="E28"/>
      <c r="F28"/>
    </row>
    <row r="29" spans="1:12" x14ac:dyDescent="0.35">
      <c r="A29" s="17"/>
      <c r="B29" s="15">
        <v>4200</v>
      </c>
      <c r="C29" s="13">
        <v>749</v>
      </c>
      <c r="D29" t="s">
        <v>99</v>
      </c>
      <c r="E29" s="12">
        <v>0</v>
      </c>
      <c r="F29" s="13" t="s">
        <v>100</v>
      </c>
      <c r="G29" s="24">
        <v>129</v>
      </c>
      <c r="H29" s="28">
        <v>133</v>
      </c>
      <c r="I29" s="30">
        <v>127</v>
      </c>
      <c r="J29" s="26">
        <v>134</v>
      </c>
      <c r="K29" s="22">
        <v>113</v>
      </c>
      <c r="L29" s="22">
        <v>112</v>
      </c>
    </row>
    <row r="30" spans="1:12" x14ac:dyDescent="0.35">
      <c r="A30" s="17" t="s">
        <v>33</v>
      </c>
      <c r="B30"/>
      <c r="E30"/>
      <c r="F30"/>
    </row>
    <row r="31" spans="1:12" x14ac:dyDescent="0.35">
      <c r="A31" s="17"/>
      <c r="B31" s="15">
        <v>8800</v>
      </c>
      <c r="C31" s="13">
        <v>739</v>
      </c>
      <c r="D31" t="s">
        <v>99</v>
      </c>
      <c r="E31" s="12">
        <v>0</v>
      </c>
      <c r="F31" s="13" t="s">
        <v>100</v>
      </c>
      <c r="G31" s="24">
        <v>128</v>
      </c>
      <c r="H31" s="28">
        <v>129</v>
      </c>
      <c r="I31" s="30">
        <v>115</v>
      </c>
      <c r="J31" s="26">
        <v>135</v>
      </c>
      <c r="K31" s="22">
        <v>124</v>
      </c>
      <c r="L31" s="22">
        <v>107</v>
      </c>
    </row>
    <row r="32" spans="1:12" x14ac:dyDescent="0.35">
      <c r="A32" s="17"/>
      <c r="B32" s="15">
        <v>12500</v>
      </c>
      <c r="C32" s="13">
        <v>815</v>
      </c>
      <c r="D32" t="s">
        <v>99</v>
      </c>
      <c r="E32" s="12">
        <v>0</v>
      </c>
      <c r="F32" s="13" t="s">
        <v>100</v>
      </c>
      <c r="G32" s="24">
        <v>143</v>
      </c>
      <c r="H32" s="28">
        <v>146</v>
      </c>
      <c r="I32" s="30">
        <v>140</v>
      </c>
      <c r="J32" s="26">
        <v>144</v>
      </c>
      <c r="K32" s="22">
        <v>124</v>
      </c>
      <c r="L32" s="22">
        <v>117</v>
      </c>
    </row>
    <row r="33" spans="1:12" x14ac:dyDescent="0.35">
      <c r="A33" s="17"/>
      <c r="B33" s="15">
        <v>15100</v>
      </c>
      <c r="C33" s="13">
        <v>954</v>
      </c>
      <c r="D33" t="s">
        <v>99</v>
      </c>
      <c r="E33" s="12">
        <v>2</v>
      </c>
      <c r="F33" s="13">
        <v>98</v>
      </c>
      <c r="G33" s="24">
        <v>136</v>
      </c>
      <c r="H33" s="28">
        <v>129</v>
      </c>
      <c r="I33" s="30">
        <v>115</v>
      </c>
      <c r="J33" s="26">
        <v>136</v>
      </c>
      <c r="K33" s="22">
        <v>124</v>
      </c>
      <c r="L33" s="22">
        <v>117</v>
      </c>
    </row>
    <row r="34" spans="1:12" x14ac:dyDescent="0.35">
      <c r="A34" s="17"/>
      <c r="B34" s="15">
        <v>20000</v>
      </c>
      <c r="C34" s="13">
        <v>1325</v>
      </c>
      <c r="D34" t="s">
        <v>16</v>
      </c>
      <c r="E34" s="12">
        <v>2</v>
      </c>
      <c r="F34" s="13">
        <v>255</v>
      </c>
      <c r="G34" s="24">
        <v>143</v>
      </c>
      <c r="H34" s="28">
        <v>146</v>
      </c>
      <c r="I34" s="30">
        <v>140</v>
      </c>
      <c r="J34" s="26">
        <v>144</v>
      </c>
      <c r="K34" s="22">
        <v>124</v>
      </c>
      <c r="L34" s="22">
        <v>117</v>
      </c>
    </row>
    <row r="35" spans="1:12" x14ac:dyDescent="0.35">
      <c r="A35" s="17"/>
      <c r="B35" s="15">
        <v>22100</v>
      </c>
      <c r="C35" s="13">
        <v>1207</v>
      </c>
      <c r="D35" t="s">
        <v>99</v>
      </c>
      <c r="E35" s="12">
        <v>4</v>
      </c>
      <c r="F35" s="13">
        <v>98</v>
      </c>
      <c r="G35" s="24">
        <v>143</v>
      </c>
      <c r="H35" s="28">
        <v>146</v>
      </c>
      <c r="I35" s="30">
        <v>140</v>
      </c>
      <c r="J35" s="26">
        <v>144</v>
      </c>
      <c r="K35" s="22">
        <v>124</v>
      </c>
      <c r="L35" s="22">
        <v>117</v>
      </c>
    </row>
    <row r="36" spans="1:12" x14ac:dyDescent="0.35">
      <c r="A36" s="17"/>
      <c r="B36" s="15">
        <v>31700</v>
      </c>
      <c r="C36" s="13">
        <v>1835</v>
      </c>
      <c r="D36" t="s">
        <v>16</v>
      </c>
      <c r="E36" s="12">
        <v>4</v>
      </c>
      <c r="F36" s="13">
        <v>255</v>
      </c>
      <c r="G36" s="24">
        <v>143</v>
      </c>
      <c r="H36" s="28">
        <v>146</v>
      </c>
      <c r="I36" s="30">
        <v>140</v>
      </c>
      <c r="J36" s="26">
        <v>144</v>
      </c>
      <c r="K36" s="22">
        <v>124</v>
      </c>
      <c r="L36" s="22">
        <v>117</v>
      </c>
    </row>
    <row r="37" spans="1:12" x14ac:dyDescent="0.35">
      <c r="A37" s="17" t="s">
        <v>34</v>
      </c>
      <c r="B37"/>
      <c r="E37"/>
      <c r="F37"/>
    </row>
    <row r="38" spans="1:12" x14ac:dyDescent="0.35">
      <c r="A38" s="17"/>
      <c r="B38" s="15">
        <v>10500</v>
      </c>
      <c r="C38" s="13">
        <v>732</v>
      </c>
      <c r="D38" t="s">
        <v>99</v>
      </c>
      <c r="E38" s="12">
        <v>0</v>
      </c>
      <c r="F38" s="13" t="s">
        <v>100</v>
      </c>
      <c r="G38" s="24">
        <v>126</v>
      </c>
      <c r="H38" s="28">
        <v>111</v>
      </c>
      <c r="I38" s="30">
        <v>119</v>
      </c>
      <c r="J38" s="26">
        <v>144</v>
      </c>
      <c r="K38" s="22">
        <v>121</v>
      </c>
      <c r="L38" s="22">
        <v>110</v>
      </c>
    </row>
    <row r="39" spans="1:12" x14ac:dyDescent="0.35">
      <c r="A39" s="17" t="s">
        <v>35</v>
      </c>
      <c r="B39"/>
      <c r="E39"/>
      <c r="F39"/>
    </row>
    <row r="40" spans="1:12" x14ac:dyDescent="0.35">
      <c r="A40" s="17"/>
      <c r="B40" s="15">
        <v>1400</v>
      </c>
      <c r="C40" s="13">
        <v>873</v>
      </c>
      <c r="D40" t="s">
        <v>99</v>
      </c>
      <c r="E40" s="12">
        <v>0</v>
      </c>
      <c r="F40" s="13" t="s">
        <v>100</v>
      </c>
      <c r="G40" s="24">
        <v>146</v>
      </c>
      <c r="H40" s="28">
        <v>145</v>
      </c>
      <c r="I40" s="30">
        <v>149</v>
      </c>
      <c r="J40" s="26">
        <v>148</v>
      </c>
      <c r="K40" s="22">
        <v>145</v>
      </c>
      <c r="L40" s="22">
        <v>139</v>
      </c>
    </row>
    <row r="41" spans="1:12" x14ac:dyDescent="0.35">
      <c r="A41" s="17" t="s">
        <v>36</v>
      </c>
      <c r="B41"/>
      <c r="E41"/>
      <c r="F41"/>
    </row>
    <row r="42" spans="1:12" x14ac:dyDescent="0.35">
      <c r="A42" s="17"/>
      <c r="B42" s="15">
        <v>1500</v>
      </c>
      <c r="C42" s="13">
        <v>766</v>
      </c>
      <c r="D42" t="s">
        <v>99</v>
      </c>
      <c r="E42" s="12">
        <v>0</v>
      </c>
      <c r="F42" s="13" t="s">
        <v>100</v>
      </c>
      <c r="G42" s="24">
        <v>118</v>
      </c>
      <c r="H42" s="28">
        <v>135</v>
      </c>
      <c r="I42" s="30">
        <v>131</v>
      </c>
      <c r="J42" s="26">
        <v>125</v>
      </c>
      <c r="K42" s="22">
        <v>126</v>
      </c>
      <c r="L42" s="22">
        <v>130</v>
      </c>
    </row>
    <row r="43" spans="1:12" x14ac:dyDescent="0.35">
      <c r="A43" s="17" t="s">
        <v>37</v>
      </c>
      <c r="B43"/>
      <c r="E43"/>
      <c r="F43"/>
    </row>
    <row r="44" spans="1:12" x14ac:dyDescent="0.35">
      <c r="A44" s="17"/>
      <c r="B44" s="15">
        <v>3300</v>
      </c>
      <c r="C44" s="13">
        <v>777</v>
      </c>
      <c r="D44" t="s">
        <v>99</v>
      </c>
      <c r="E44" s="12">
        <v>0</v>
      </c>
      <c r="F44" s="13" t="s">
        <v>100</v>
      </c>
      <c r="G44" s="24">
        <v>143</v>
      </c>
      <c r="H44" s="28">
        <v>114</v>
      </c>
      <c r="I44" s="30">
        <v>121</v>
      </c>
      <c r="J44" s="26">
        <v>135</v>
      </c>
      <c r="K44" s="22">
        <v>118</v>
      </c>
      <c r="L44" s="22">
        <v>145</v>
      </c>
    </row>
    <row r="45" spans="1:12" x14ac:dyDescent="0.35">
      <c r="A45" s="17"/>
      <c r="B45" s="15">
        <v>8500</v>
      </c>
      <c r="C45" s="13">
        <v>1267</v>
      </c>
      <c r="D45" t="s">
        <v>99</v>
      </c>
      <c r="E45" s="12">
        <v>5</v>
      </c>
      <c r="F45" s="13">
        <v>98</v>
      </c>
      <c r="G45" s="24">
        <v>143</v>
      </c>
      <c r="H45" s="28">
        <v>114</v>
      </c>
      <c r="I45" s="30">
        <v>121</v>
      </c>
      <c r="J45" s="26">
        <v>135</v>
      </c>
      <c r="K45" s="22">
        <v>118</v>
      </c>
      <c r="L45" s="22">
        <v>145</v>
      </c>
    </row>
    <row r="46" spans="1:12" x14ac:dyDescent="0.35">
      <c r="A46" s="17"/>
      <c r="B46" s="15">
        <v>12500</v>
      </c>
      <c r="C46" s="13">
        <v>2052</v>
      </c>
      <c r="D46" t="s">
        <v>16</v>
      </c>
      <c r="E46" s="12">
        <v>5</v>
      </c>
      <c r="F46" s="13">
        <v>255</v>
      </c>
      <c r="G46" s="24">
        <v>143</v>
      </c>
      <c r="H46" s="28">
        <v>114</v>
      </c>
      <c r="I46" s="30">
        <v>121</v>
      </c>
      <c r="J46" s="26">
        <v>135</v>
      </c>
      <c r="K46" s="22">
        <v>118</v>
      </c>
      <c r="L46" s="22">
        <v>145</v>
      </c>
    </row>
    <row r="47" spans="1:12" x14ac:dyDescent="0.35">
      <c r="A47" s="17" t="s">
        <v>38</v>
      </c>
      <c r="B47"/>
      <c r="E47"/>
      <c r="F47"/>
    </row>
    <row r="48" spans="1:12" x14ac:dyDescent="0.35">
      <c r="A48" s="17"/>
      <c r="B48" s="15">
        <v>8000</v>
      </c>
      <c r="C48" s="13">
        <v>832</v>
      </c>
      <c r="D48" t="s">
        <v>99</v>
      </c>
      <c r="E48" s="12">
        <v>0</v>
      </c>
      <c r="F48" s="13" t="s">
        <v>100</v>
      </c>
      <c r="G48" s="24">
        <v>145</v>
      </c>
      <c r="H48" s="28">
        <v>137</v>
      </c>
      <c r="I48" s="30">
        <v>143</v>
      </c>
      <c r="J48" s="26">
        <v>154</v>
      </c>
      <c r="K48" s="22">
        <v>129</v>
      </c>
      <c r="L48" s="22">
        <v>123</v>
      </c>
    </row>
    <row r="49" spans="1:12" x14ac:dyDescent="0.35">
      <c r="A49" s="17"/>
      <c r="B49" s="15">
        <v>17000</v>
      </c>
      <c r="C49" s="13">
        <v>1224</v>
      </c>
      <c r="D49" t="s">
        <v>99</v>
      </c>
      <c r="E49" s="12">
        <v>4</v>
      </c>
      <c r="F49" s="13">
        <v>98</v>
      </c>
      <c r="G49" s="24">
        <v>145</v>
      </c>
      <c r="H49" s="28">
        <v>137</v>
      </c>
      <c r="I49" s="30">
        <v>143</v>
      </c>
      <c r="J49" s="26">
        <v>154</v>
      </c>
      <c r="K49" s="22">
        <v>129</v>
      </c>
      <c r="L49" s="22">
        <v>123</v>
      </c>
    </row>
    <row r="50" spans="1:12" x14ac:dyDescent="0.35">
      <c r="A50" s="17"/>
      <c r="B50" s="15">
        <v>19500</v>
      </c>
      <c r="C50" s="13">
        <v>1472</v>
      </c>
      <c r="D50" t="s">
        <v>16</v>
      </c>
      <c r="E50" s="12">
        <v>4</v>
      </c>
      <c r="F50" s="13">
        <v>160</v>
      </c>
      <c r="G50" s="24">
        <v>145</v>
      </c>
      <c r="H50" s="28">
        <v>137</v>
      </c>
      <c r="I50" s="30">
        <v>143</v>
      </c>
      <c r="J50" s="26">
        <v>154</v>
      </c>
      <c r="K50" s="22">
        <v>129</v>
      </c>
      <c r="L50" s="22">
        <v>123</v>
      </c>
    </row>
    <row r="51" spans="1:12" x14ac:dyDescent="0.35">
      <c r="A51" s="17"/>
      <c r="B51" s="15">
        <v>23700</v>
      </c>
      <c r="C51" s="13">
        <v>1852</v>
      </c>
      <c r="D51" t="s">
        <v>16</v>
      </c>
      <c r="E51" s="12">
        <v>4</v>
      </c>
      <c r="F51" s="13">
        <v>255</v>
      </c>
      <c r="G51" s="24">
        <v>145</v>
      </c>
      <c r="H51" s="28">
        <v>137</v>
      </c>
      <c r="I51" s="30">
        <v>143</v>
      </c>
      <c r="J51" s="26">
        <v>154</v>
      </c>
      <c r="K51" s="22">
        <v>129</v>
      </c>
      <c r="L51" s="22">
        <v>123</v>
      </c>
    </row>
    <row r="52" spans="1:12" x14ac:dyDescent="0.35">
      <c r="A52" s="17" t="s">
        <v>39</v>
      </c>
      <c r="B52"/>
      <c r="E52"/>
      <c r="F52"/>
    </row>
    <row r="53" spans="1:12" x14ac:dyDescent="0.35">
      <c r="A53" s="17"/>
      <c r="B53" s="15">
        <v>4800</v>
      </c>
      <c r="C53" s="13">
        <v>723</v>
      </c>
      <c r="D53" t="s">
        <v>99</v>
      </c>
      <c r="E53" s="12">
        <v>0</v>
      </c>
      <c r="F53" s="13" t="s">
        <v>100</v>
      </c>
      <c r="G53" s="24">
        <v>134</v>
      </c>
      <c r="H53" s="28">
        <v>125</v>
      </c>
      <c r="I53" s="30">
        <v>105</v>
      </c>
      <c r="J53" s="26">
        <v>134</v>
      </c>
      <c r="K53" s="22">
        <v>112</v>
      </c>
      <c r="L53" s="22">
        <v>112</v>
      </c>
    </row>
    <row r="54" spans="1:12" x14ac:dyDescent="0.35">
      <c r="A54" s="17" t="s">
        <v>40</v>
      </c>
      <c r="B54"/>
      <c r="E54"/>
      <c r="F54"/>
    </row>
    <row r="55" spans="1:12" x14ac:dyDescent="0.35">
      <c r="A55" s="17"/>
      <c r="B55" s="15">
        <v>5100</v>
      </c>
      <c r="C55" s="13">
        <v>785</v>
      </c>
      <c r="D55" t="s">
        <v>99</v>
      </c>
      <c r="E55" s="12">
        <v>0</v>
      </c>
      <c r="F55" s="13" t="s">
        <v>100</v>
      </c>
      <c r="G55" s="24">
        <v>143</v>
      </c>
      <c r="H55" s="28">
        <v>132</v>
      </c>
      <c r="I55" s="30">
        <v>138</v>
      </c>
      <c r="J55" s="26">
        <v>139</v>
      </c>
      <c r="K55" s="22">
        <v>122</v>
      </c>
      <c r="L55" s="22">
        <v>110</v>
      </c>
    </row>
    <row r="56" spans="1:12" x14ac:dyDescent="0.35">
      <c r="A56" s="17" t="s">
        <v>41</v>
      </c>
      <c r="B56"/>
      <c r="E56"/>
      <c r="F56"/>
    </row>
    <row r="57" spans="1:12" x14ac:dyDescent="0.35">
      <c r="A57" s="17"/>
      <c r="B57" s="15">
        <v>2500</v>
      </c>
      <c r="C57" s="13">
        <v>768</v>
      </c>
      <c r="D57" t="s">
        <v>99</v>
      </c>
      <c r="E57" s="12">
        <v>0</v>
      </c>
      <c r="F57" s="13" t="s">
        <v>100</v>
      </c>
      <c r="G57" s="24">
        <v>135</v>
      </c>
      <c r="H57" s="28">
        <v>142</v>
      </c>
      <c r="I57" s="30">
        <v>135</v>
      </c>
      <c r="J57" s="26">
        <v>134</v>
      </c>
      <c r="K57" s="22">
        <v>116</v>
      </c>
      <c r="L57" s="22">
        <v>105</v>
      </c>
    </row>
    <row r="58" spans="1:12" x14ac:dyDescent="0.35">
      <c r="A58" s="17" t="s">
        <v>42</v>
      </c>
      <c r="B58"/>
      <c r="E58"/>
      <c r="F58"/>
    </row>
    <row r="59" spans="1:12" x14ac:dyDescent="0.35">
      <c r="A59" s="17"/>
      <c r="B59" s="15">
        <v>2000</v>
      </c>
      <c r="C59" s="13">
        <v>734</v>
      </c>
      <c r="D59" t="s">
        <v>99</v>
      </c>
      <c r="E59" s="12">
        <v>0</v>
      </c>
      <c r="F59" s="13" t="s">
        <v>100</v>
      </c>
      <c r="G59" s="24">
        <v>127</v>
      </c>
      <c r="H59" s="28">
        <v>113</v>
      </c>
      <c r="I59" s="30">
        <v>124</v>
      </c>
      <c r="J59" s="26">
        <v>126</v>
      </c>
      <c r="K59" s="22">
        <v>123</v>
      </c>
      <c r="L59" s="22">
        <v>120</v>
      </c>
    </row>
    <row r="60" spans="1:12" x14ac:dyDescent="0.35">
      <c r="A60" s="17" t="s">
        <v>43</v>
      </c>
      <c r="B60"/>
      <c r="E60"/>
      <c r="F60"/>
    </row>
    <row r="61" spans="1:12" x14ac:dyDescent="0.35">
      <c r="A61" s="17"/>
      <c r="B61" s="15">
        <v>1800</v>
      </c>
      <c r="C61" s="13">
        <v>736</v>
      </c>
      <c r="D61" t="s">
        <v>99</v>
      </c>
      <c r="E61" s="12">
        <v>0</v>
      </c>
      <c r="F61" s="13" t="s">
        <v>100</v>
      </c>
      <c r="G61" s="24">
        <v>125</v>
      </c>
      <c r="H61" s="28">
        <v>130</v>
      </c>
      <c r="I61" s="30">
        <v>127</v>
      </c>
      <c r="J61" s="26">
        <v>128</v>
      </c>
      <c r="K61" s="22">
        <v>109</v>
      </c>
      <c r="L61" s="22">
        <v>116</v>
      </c>
    </row>
    <row r="62" spans="1:12" x14ac:dyDescent="0.35">
      <c r="A62" s="17" t="s">
        <v>44</v>
      </c>
      <c r="B62"/>
      <c r="E62"/>
      <c r="F62"/>
    </row>
    <row r="63" spans="1:12" x14ac:dyDescent="0.35">
      <c r="A63" s="17"/>
      <c r="B63" s="15">
        <v>3600</v>
      </c>
      <c r="C63" s="13">
        <v>746</v>
      </c>
      <c r="D63" t="s">
        <v>99</v>
      </c>
      <c r="E63" s="12">
        <v>0</v>
      </c>
      <c r="F63" s="13" t="s">
        <v>100</v>
      </c>
      <c r="G63" s="24">
        <v>141</v>
      </c>
      <c r="H63" s="28">
        <v>122</v>
      </c>
      <c r="I63" s="30">
        <v>125</v>
      </c>
      <c r="J63" s="26">
        <v>137</v>
      </c>
      <c r="K63" s="22">
        <v>113</v>
      </c>
      <c r="L63" s="22">
        <v>107</v>
      </c>
    </row>
    <row r="64" spans="1:12" x14ac:dyDescent="0.35">
      <c r="A64" s="17"/>
      <c r="B64" s="15">
        <v>6000</v>
      </c>
      <c r="C64" s="13">
        <v>942</v>
      </c>
      <c r="D64" t="s">
        <v>99</v>
      </c>
      <c r="E64" s="12">
        <v>2</v>
      </c>
      <c r="F64" s="13">
        <v>98</v>
      </c>
      <c r="G64" s="24">
        <v>141</v>
      </c>
      <c r="H64" s="28">
        <v>122</v>
      </c>
      <c r="I64" s="30">
        <v>125</v>
      </c>
      <c r="J64" s="26">
        <v>137</v>
      </c>
      <c r="K64" s="22">
        <v>113</v>
      </c>
      <c r="L64" s="22">
        <v>107</v>
      </c>
    </row>
    <row r="65" spans="1:12" x14ac:dyDescent="0.35">
      <c r="A65" s="17" t="s">
        <v>45</v>
      </c>
      <c r="B65"/>
      <c r="E65"/>
      <c r="F65"/>
    </row>
    <row r="66" spans="1:12" x14ac:dyDescent="0.35">
      <c r="A66" s="17"/>
      <c r="B66" s="15">
        <v>16000</v>
      </c>
      <c r="C66" s="13">
        <v>784</v>
      </c>
      <c r="D66" t="s">
        <v>16</v>
      </c>
      <c r="E66" s="12">
        <v>0</v>
      </c>
      <c r="F66" s="13" t="s">
        <v>100</v>
      </c>
      <c r="G66" s="24">
        <v>141</v>
      </c>
      <c r="H66" s="28">
        <v>130</v>
      </c>
      <c r="I66" s="30">
        <v>138</v>
      </c>
      <c r="J66" s="26">
        <v>140</v>
      </c>
      <c r="K66" s="22">
        <v>118</v>
      </c>
      <c r="L66" s="22">
        <v>116</v>
      </c>
    </row>
    <row r="67" spans="1:12" x14ac:dyDescent="0.35">
      <c r="A67" s="17"/>
      <c r="B67" s="15">
        <v>20000</v>
      </c>
      <c r="C67" s="13">
        <v>784</v>
      </c>
      <c r="D67" t="s">
        <v>99</v>
      </c>
      <c r="E67" s="12">
        <v>0</v>
      </c>
      <c r="F67" s="13" t="s">
        <v>100</v>
      </c>
      <c r="G67" s="24">
        <v>141</v>
      </c>
      <c r="H67" s="28">
        <v>130</v>
      </c>
      <c r="I67" s="30">
        <v>138</v>
      </c>
      <c r="J67" s="26">
        <v>140</v>
      </c>
      <c r="K67" s="22">
        <v>118</v>
      </c>
      <c r="L67" s="22">
        <v>116</v>
      </c>
    </row>
    <row r="68" spans="1:12" x14ac:dyDescent="0.35">
      <c r="A68" s="17"/>
      <c r="B68" s="15">
        <v>43000</v>
      </c>
      <c r="C68" s="13">
        <v>1176</v>
      </c>
      <c r="D68" t="s">
        <v>99</v>
      </c>
      <c r="E68" s="12">
        <v>4</v>
      </c>
      <c r="F68" s="13">
        <v>98</v>
      </c>
      <c r="G68" s="24">
        <v>141</v>
      </c>
      <c r="H68" s="28">
        <v>130</v>
      </c>
      <c r="I68" s="30">
        <v>138</v>
      </c>
      <c r="J68" s="26">
        <v>140</v>
      </c>
      <c r="K68" s="22">
        <v>118</v>
      </c>
      <c r="L68" s="22">
        <v>116</v>
      </c>
    </row>
    <row r="69" spans="1:12" x14ac:dyDescent="0.35">
      <c r="A69" s="17"/>
      <c r="B69" s="15">
        <v>51000</v>
      </c>
      <c r="C69" s="13">
        <v>1424</v>
      </c>
      <c r="D69" t="s">
        <v>16</v>
      </c>
      <c r="E69" s="12">
        <v>4</v>
      </c>
      <c r="F69" s="13">
        <v>160</v>
      </c>
      <c r="G69" s="24">
        <v>141</v>
      </c>
      <c r="H69" s="28">
        <v>130</v>
      </c>
      <c r="I69" s="30">
        <v>138</v>
      </c>
      <c r="J69" s="26">
        <v>140</v>
      </c>
      <c r="K69" s="22">
        <v>118</v>
      </c>
      <c r="L69" s="22">
        <v>116</v>
      </c>
    </row>
    <row r="70" spans="1:12" x14ac:dyDescent="0.35">
      <c r="A70" s="17"/>
      <c r="B70" s="15">
        <v>62000</v>
      </c>
      <c r="C70" s="13">
        <v>1804</v>
      </c>
      <c r="D70" t="s">
        <v>16</v>
      </c>
      <c r="E70" s="12">
        <v>4</v>
      </c>
      <c r="F70" s="13">
        <v>255</v>
      </c>
      <c r="G70" s="24">
        <v>141</v>
      </c>
      <c r="H70" s="28">
        <v>130</v>
      </c>
      <c r="I70" s="30">
        <v>138</v>
      </c>
      <c r="J70" s="26">
        <v>140</v>
      </c>
      <c r="K70" s="22">
        <v>118</v>
      </c>
      <c r="L70" s="22">
        <v>116</v>
      </c>
    </row>
    <row r="71" spans="1:12" x14ac:dyDescent="0.35">
      <c r="A71" s="17" t="s">
        <v>46</v>
      </c>
      <c r="B71"/>
      <c r="E71"/>
      <c r="F71"/>
    </row>
    <row r="72" spans="1:12" x14ac:dyDescent="0.35">
      <c r="A72" s="17"/>
      <c r="B72" s="15">
        <v>15000</v>
      </c>
      <c r="C72" s="13">
        <v>801</v>
      </c>
      <c r="D72" t="s">
        <v>99</v>
      </c>
      <c r="E72" s="12">
        <v>0</v>
      </c>
      <c r="F72" s="13" t="s">
        <v>100</v>
      </c>
      <c r="G72" s="24">
        <v>134</v>
      </c>
      <c r="H72" s="28">
        <v>146</v>
      </c>
      <c r="I72" s="30">
        <v>135</v>
      </c>
      <c r="J72" s="26">
        <v>146</v>
      </c>
      <c r="K72" s="22">
        <v>117</v>
      </c>
      <c r="L72" s="22">
        <v>122</v>
      </c>
    </row>
    <row r="73" spans="1:12" x14ac:dyDescent="0.35">
      <c r="A73" s="17" t="s">
        <v>47</v>
      </c>
      <c r="B73"/>
      <c r="E73"/>
      <c r="F73"/>
    </row>
    <row r="74" spans="1:12" x14ac:dyDescent="0.35">
      <c r="A74" s="17"/>
      <c r="B74" s="15">
        <v>5400</v>
      </c>
      <c r="C74" s="13">
        <v>743</v>
      </c>
      <c r="D74" t="s">
        <v>99</v>
      </c>
      <c r="E74" s="12">
        <v>0</v>
      </c>
      <c r="F74" s="13" t="s">
        <v>100</v>
      </c>
      <c r="G74" s="24">
        <v>153</v>
      </c>
      <c r="H74" s="28">
        <v>150</v>
      </c>
      <c r="I74" s="30">
        <v>145</v>
      </c>
      <c r="J74" s="26">
        <v>151</v>
      </c>
      <c r="L74" s="22">
        <v>143</v>
      </c>
    </row>
    <row r="75" spans="1:12" x14ac:dyDescent="0.35">
      <c r="A75" s="17" t="s">
        <v>48</v>
      </c>
      <c r="B75"/>
      <c r="E75"/>
      <c r="F75"/>
    </row>
    <row r="76" spans="1:12" x14ac:dyDescent="0.35">
      <c r="A76" s="17"/>
      <c r="B76" s="15">
        <v>2900</v>
      </c>
      <c r="C76" s="13">
        <v>450</v>
      </c>
      <c r="D76" t="s">
        <v>99</v>
      </c>
      <c r="E76" s="12">
        <v>0</v>
      </c>
      <c r="F76" s="13" t="s">
        <v>100</v>
      </c>
      <c r="G76" s="24">
        <v>74</v>
      </c>
      <c r="H76" s="28">
        <v>68</v>
      </c>
      <c r="I76" s="30">
        <v>78</v>
      </c>
      <c r="J76" s="26">
        <v>93</v>
      </c>
      <c r="K76" s="22">
        <v>72</v>
      </c>
      <c r="L76" s="22">
        <v>64</v>
      </c>
    </row>
    <row r="77" spans="1:12" x14ac:dyDescent="0.35">
      <c r="A77" s="17" t="s">
        <v>49</v>
      </c>
      <c r="B77"/>
      <c r="E77"/>
      <c r="F77"/>
    </row>
    <row r="78" spans="1:12" x14ac:dyDescent="0.35">
      <c r="A78" s="17"/>
      <c r="B78" s="15">
        <v>15000</v>
      </c>
      <c r="C78" s="13">
        <v>768</v>
      </c>
      <c r="D78" t="s">
        <v>99</v>
      </c>
      <c r="E78" s="12">
        <v>0</v>
      </c>
      <c r="F78" s="13" t="s">
        <v>100</v>
      </c>
      <c r="G78" s="24">
        <v>132</v>
      </c>
      <c r="H78" s="28">
        <v>131</v>
      </c>
      <c r="I78" s="30">
        <v>133</v>
      </c>
      <c r="J78" s="26">
        <v>130</v>
      </c>
      <c r="K78" s="22">
        <v>125</v>
      </c>
      <c r="L78" s="22">
        <v>116</v>
      </c>
    </row>
    <row r="79" spans="1:12" x14ac:dyDescent="0.35">
      <c r="A79" s="17" t="s">
        <v>50</v>
      </c>
      <c r="B79"/>
      <c r="E79"/>
      <c r="F79"/>
    </row>
    <row r="80" spans="1:12" x14ac:dyDescent="0.35">
      <c r="A80" s="17"/>
      <c r="B80" s="15">
        <v>2400</v>
      </c>
      <c r="C80" s="13">
        <v>762</v>
      </c>
      <c r="D80" t="s">
        <v>99</v>
      </c>
      <c r="E80" s="12">
        <v>0</v>
      </c>
      <c r="F80" s="13" t="s">
        <v>100</v>
      </c>
      <c r="G80" s="24">
        <v>132</v>
      </c>
      <c r="H80" s="28">
        <v>117</v>
      </c>
      <c r="I80" s="30">
        <v>136</v>
      </c>
      <c r="J80" s="26">
        <v>111</v>
      </c>
      <c r="K80" s="22">
        <v>135</v>
      </c>
      <c r="L80" s="22">
        <v>130</v>
      </c>
    </row>
    <row r="81" spans="1:12" x14ac:dyDescent="0.35">
      <c r="A81" s="17"/>
      <c r="B81" s="15">
        <v>4700</v>
      </c>
      <c r="C81" s="13">
        <v>1056</v>
      </c>
      <c r="D81" t="s">
        <v>99</v>
      </c>
      <c r="E81" s="12">
        <v>3</v>
      </c>
      <c r="F81" s="13">
        <v>98</v>
      </c>
      <c r="G81" s="24">
        <v>132</v>
      </c>
      <c r="H81" s="28">
        <v>117</v>
      </c>
      <c r="I81" s="30">
        <v>136</v>
      </c>
      <c r="J81" s="26">
        <v>111</v>
      </c>
      <c r="K81" s="22">
        <v>135</v>
      </c>
      <c r="L81" s="22">
        <v>130</v>
      </c>
    </row>
    <row r="82" spans="1:12" x14ac:dyDescent="0.35">
      <c r="A82" s="17"/>
      <c r="B82" s="15">
        <v>5500</v>
      </c>
      <c r="C82" s="13">
        <v>1242</v>
      </c>
      <c r="D82" t="s">
        <v>16</v>
      </c>
      <c r="E82" s="12">
        <v>3</v>
      </c>
      <c r="F82" s="13">
        <v>160</v>
      </c>
      <c r="G82" s="24">
        <v>132</v>
      </c>
      <c r="H82" s="28">
        <v>117</v>
      </c>
      <c r="I82" s="30">
        <v>136</v>
      </c>
      <c r="J82" s="26">
        <v>111</v>
      </c>
      <c r="K82" s="22">
        <v>135</v>
      </c>
      <c r="L82" s="22">
        <v>130</v>
      </c>
    </row>
    <row r="83" spans="1:12" x14ac:dyDescent="0.35">
      <c r="A83" s="17"/>
      <c r="B83" s="15">
        <v>6000</v>
      </c>
      <c r="C83" s="13">
        <v>1527</v>
      </c>
      <c r="D83" t="s">
        <v>16</v>
      </c>
      <c r="E83" s="12">
        <v>3</v>
      </c>
      <c r="F83" s="13">
        <v>255</v>
      </c>
      <c r="G83" s="24">
        <v>132</v>
      </c>
      <c r="H83" s="28">
        <v>117</v>
      </c>
      <c r="I83" s="30">
        <v>136</v>
      </c>
      <c r="J83" s="26">
        <v>111</v>
      </c>
      <c r="K83" s="22">
        <v>135</v>
      </c>
      <c r="L83" s="22">
        <v>130</v>
      </c>
    </row>
    <row r="84" spans="1:12" x14ac:dyDescent="0.35">
      <c r="A84" s="17" t="s">
        <v>51</v>
      </c>
      <c r="B84"/>
      <c r="E84"/>
      <c r="F84"/>
    </row>
    <row r="85" spans="1:12" x14ac:dyDescent="0.35">
      <c r="A85" s="17"/>
      <c r="B85" s="15">
        <v>8700</v>
      </c>
      <c r="C85" s="13">
        <v>733</v>
      </c>
      <c r="D85" t="s">
        <v>99</v>
      </c>
      <c r="E85" s="12">
        <v>0</v>
      </c>
      <c r="F85" s="13" t="s">
        <v>100</v>
      </c>
      <c r="G85" s="24">
        <v>134</v>
      </c>
      <c r="H85" s="28">
        <v>121</v>
      </c>
      <c r="I85" s="30">
        <v>104</v>
      </c>
      <c r="J85" s="26">
        <v>137</v>
      </c>
      <c r="K85" s="22">
        <v>125</v>
      </c>
      <c r="L85" s="22">
        <v>111</v>
      </c>
    </row>
    <row r="86" spans="1:12" x14ac:dyDescent="0.35">
      <c r="A86" s="17" t="s">
        <v>52</v>
      </c>
      <c r="B86"/>
      <c r="E86"/>
      <c r="F86"/>
    </row>
    <row r="87" spans="1:12" x14ac:dyDescent="0.35">
      <c r="A87" s="17"/>
      <c r="B87" s="15">
        <v>8500</v>
      </c>
      <c r="C87" s="13">
        <v>772</v>
      </c>
      <c r="D87" t="s">
        <v>99</v>
      </c>
      <c r="E87" s="12">
        <v>0</v>
      </c>
      <c r="F87" s="13" t="s">
        <v>100</v>
      </c>
      <c r="G87" s="24">
        <v>131</v>
      </c>
      <c r="H87" s="28">
        <v>138</v>
      </c>
      <c r="I87" s="30">
        <v>151</v>
      </c>
      <c r="J87" s="26">
        <v>135</v>
      </c>
      <c r="K87" s="22">
        <v>114</v>
      </c>
      <c r="L87" s="22">
        <v>102</v>
      </c>
    </row>
    <row r="88" spans="1:12" x14ac:dyDescent="0.35">
      <c r="A88" s="17"/>
      <c r="B88" s="15">
        <v>12300</v>
      </c>
      <c r="C88" s="13">
        <v>968</v>
      </c>
      <c r="D88" t="s">
        <v>99</v>
      </c>
      <c r="E88" s="12">
        <v>2</v>
      </c>
      <c r="F88" s="13">
        <v>98</v>
      </c>
      <c r="G88" s="24">
        <v>131</v>
      </c>
      <c r="H88" s="28">
        <v>138</v>
      </c>
      <c r="I88" s="30">
        <v>151</v>
      </c>
      <c r="J88" s="26">
        <v>135</v>
      </c>
      <c r="K88" s="22">
        <v>114</v>
      </c>
      <c r="L88" s="22">
        <v>102</v>
      </c>
    </row>
    <row r="89" spans="1:12" x14ac:dyDescent="0.35">
      <c r="A89" s="17"/>
      <c r="B89" s="15">
        <v>14700</v>
      </c>
      <c r="C89" s="13">
        <v>1066</v>
      </c>
      <c r="D89" t="s">
        <v>99</v>
      </c>
      <c r="E89" s="12">
        <v>3</v>
      </c>
      <c r="F89" s="13">
        <v>98</v>
      </c>
      <c r="G89" s="24">
        <v>131</v>
      </c>
      <c r="H89" s="28">
        <v>138</v>
      </c>
      <c r="I89" s="30">
        <v>151</v>
      </c>
      <c r="J89" s="26">
        <v>135</v>
      </c>
      <c r="K89" s="22">
        <v>114</v>
      </c>
      <c r="L89" s="22">
        <v>102</v>
      </c>
    </row>
    <row r="90" spans="1:12" x14ac:dyDescent="0.35">
      <c r="A90" s="17" t="s">
        <v>94</v>
      </c>
      <c r="B90"/>
      <c r="E90"/>
      <c r="F90"/>
    </row>
    <row r="91" spans="1:12" x14ac:dyDescent="0.35">
      <c r="A91" s="17"/>
      <c r="B91" s="15">
        <v>4400</v>
      </c>
      <c r="C91" s="13">
        <v>850</v>
      </c>
      <c r="D91" t="s">
        <v>99</v>
      </c>
      <c r="E91" s="12">
        <v>0</v>
      </c>
      <c r="F91" s="13" t="s">
        <v>100</v>
      </c>
      <c r="G91" s="24">
        <v>145</v>
      </c>
      <c r="H91" s="28">
        <v>140</v>
      </c>
      <c r="I91" s="30">
        <v>140</v>
      </c>
      <c r="J91" s="26">
        <v>141</v>
      </c>
      <c r="K91" s="22">
        <v>141</v>
      </c>
      <c r="L91" s="22">
        <v>142</v>
      </c>
    </row>
    <row r="92" spans="1:12" x14ac:dyDescent="0.35">
      <c r="A92" s="17" t="s">
        <v>53</v>
      </c>
      <c r="B92"/>
      <c r="E92"/>
      <c r="F92"/>
    </row>
    <row r="93" spans="1:12" x14ac:dyDescent="0.35">
      <c r="A93" s="17"/>
      <c r="B93" s="15">
        <v>1200</v>
      </c>
      <c r="C93" s="13">
        <v>779</v>
      </c>
      <c r="D93" t="s">
        <v>99</v>
      </c>
      <c r="E93" s="12">
        <v>0</v>
      </c>
      <c r="F93" s="13" t="s">
        <v>100</v>
      </c>
      <c r="G93" s="24">
        <v>121</v>
      </c>
      <c r="H93" s="28">
        <v>132</v>
      </c>
      <c r="I93" s="30">
        <v>146</v>
      </c>
      <c r="J93" s="26">
        <v>127</v>
      </c>
      <c r="K93" s="22">
        <v>127</v>
      </c>
      <c r="L93" s="22">
        <v>125</v>
      </c>
    </row>
    <row r="94" spans="1:12" x14ac:dyDescent="0.35">
      <c r="A94" s="17" t="s">
        <v>54</v>
      </c>
      <c r="B94"/>
      <c r="E94"/>
      <c r="F94"/>
    </row>
    <row r="95" spans="1:12" x14ac:dyDescent="0.35">
      <c r="A95" s="17"/>
      <c r="B95" s="15">
        <v>6500</v>
      </c>
      <c r="C95" s="13">
        <v>824</v>
      </c>
      <c r="D95" t="s">
        <v>99</v>
      </c>
      <c r="E95" s="12">
        <v>0</v>
      </c>
      <c r="F95" s="13" t="s">
        <v>100</v>
      </c>
      <c r="G95" s="24">
        <v>142</v>
      </c>
      <c r="H95" s="28">
        <v>148</v>
      </c>
      <c r="I95" s="30">
        <v>150</v>
      </c>
      <c r="J95" s="26">
        <v>143</v>
      </c>
      <c r="K95" s="22">
        <v>122</v>
      </c>
      <c r="L95" s="22">
        <v>118</v>
      </c>
    </row>
    <row r="96" spans="1:12" x14ac:dyDescent="0.35">
      <c r="A96" s="17"/>
      <c r="B96" s="15">
        <v>13000</v>
      </c>
      <c r="C96" s="13">
        <v>1216</v>
      </c>
      <c r="D96" t="s">
        <v>99</v>
      </c>
      <c r="E96" s="12">
        <v>4</v>
      </c>
      <c r="F96" s="13">
        <v>98</v>
      </c>
      <c r="G96" s="24">
        <v>142</v>
      </c>
      <c r="H96" s="28">
        <v>148</v>
      </c>
      <c r="I96" s="30">
        <v>150</v>
      </c>
      <c r="J96" s="26">
        <v>143</v>
      </c>
      <c r="K96" s="22">
        <v>122</v>
      </c>
      <c r="L96" s="22">
        <v>118</v>
      </c>
    </row>
    <row r="97" spans="1:12" x14ac:dyDescent="0.35">
      <c r="A97" s="17"/>
      <c r="B97" s="15">
        <v>15500</v>
      </c>
      <c r="C97" s="13">
        <v>1464</v>
      </c>
      <c r="D97" t="s">
        <v>16</v>
      </c>
      <c r="E97" s="12">
        <v>4</v>
      </c>
      <c r="F97" s="13">
        <v>160</v>
      </c>
      <c r="G97" s="24">
        <v>142</v>
      </c>
      <c r="H97" s="28">
        <v>148</v>
      </c>
      <c r="I97" s="30">
        <v>150</v>
      </c>
      <c r="J97" s="26">
        <v>143</v>
      </c>
      <c r="K97" s="22">
        <v>122</v>
      </c>
      <c r="L97" s="22">
        <v>118</v>
      </c>
    </row>
    <row r="98" spans="1:12" x14ac:dyDescent="0.35">
      <c r="A98" s="17"/>
      <c r="B98" s="15">
        <v>18500</v>
      </c>
      <c r="C98" s="13">
        <v>1844</v>
      </c>
      <c r="D98" t="s">
        <v>16</v>
      </c>
      <c r="E98" s="12">
        <v>4</v>
      </c>
      <c r="F98" s="13">
        <v>255</v>
      </c>
      <c r="G98" s="24">
        <v>142</v>
      </c>
      <c r="H98" s="28">
        <v>148</v>
      </c>
      <c r="I98" s="30">
        <v>150</v>
      </c>
      <c r="J98" s="26">
        <v>143</v>
      </c>
      <c r="K98" s="22">
        <v>122</v>
      </c>
      <c r="L98" s="22">
        <v>118</v>
      </c>
    </row>
    <row r="99" spans="1:12" x14ac:dyDescent="0.35">
      <c r="A99" s="17" t="s">
        <v>55</v>
      </c>
      <c r="B99"/>
      <c r="E99"/>
      <c r="F99"/>
    </row>
    <row r="100" spans="1:12" x14ac:dyDescent="0.35">
      <c r="A100" s="17"/>
      <c r="B100" s="15">
        <v>3550</v>
      </c>
      <c r="C100" s="13">
        <v>741</v>
      </c>
      <c r="D100" t="s">
        <v>99</v>
      </c>
      <c r="E100" s="12">
        <v>0</v>
      </c>
      <c r="F100" s="13" t="s">
        <v>100</v>
      </c>
      <c r="G100" s="24">
        <v>164</v>
      </c>
      <c r="H100" s="28">
        <v>138</v>
      </c>
      <c r="I100" s="30">
        <v>153</v>
      </c>
      <c r="J100" s="26">
        <v>149</v>
      </c>
      <c r="L100" s="22">
        <v>136</v>
      </c>
    </row>
    <row r="101" spans="1:12" x14ac:dyDescent="0.35">
      <c r="A101" s="17" t="s">
        <v>56</v>
      </c>
      <c r="B101"/>
      <c r="E101"/>
      <c r="F101"/>
    </row>
    <row r="102" spans="1:12" x14ac:dyDescent="0.35">
      <c r="A102" s="17"/>
      <c r="B102" s="15">
        <v>850</v>
      </c>
      <c r="C102" s="13">
        <v>726</v>
      </c>
      <c r="D102" t="s">
        <v>99</v>
      </c>
      <c r="E102" s="12">
        <v>0</v>
      </c>
      <c r="F102" s="13" t="s">
        <v>100</v>
      </c>
      <c r="G102" s="24">
        <v>123</v>
      </c>
      <c r="H102" s="28">
        <v>125</v>
      </c>
      <c r="I102" s="30">
        <v>123</v>
      </c>
      <c r="J102" s="26">
        <v>138</v>
      </c>
      <c r="K102" s="22">
        <v>104</v>
      </c>
      <c r="L102" s="22">
        <v>112</v>
      </c>
    </row>
    <row r="103" spans="1:12" x14ac:dyDescent="0.35">
      <c r="A103" s="17" t="s">
        <v>57</v>
      </c>
      <c r="B103"/>
      <c r="E103"/>
      <c r="F103"/>
    </row>
    <row r="104" spans="1:12" x14ac:dyDescent="0.35">
      <c r="A104" s="17"/>
      <c r="B104" s="15">
        <v>8500</v>
      </c>
      <c r="C104" s="13">
        <v>803</v>
      </c>
      <c r="D104" t="s">
        <v>99</v>
      </c>
      <c r="E104" s="12">
        <v>0</v>
      </c>
      <c r="F104" s="13" t="s">
        <v>100</v>
      </c>
      <c r="G104" s="24">
        <v>163</v>
      </c>
      <c r="H104" s="28">
        <v>161</v>
      </c>
      <c r="I104" s="30">
        <v>167</v>
      </c>
      <c r="J104" s="26">
        <v>169</v>
      </c>
      <c r="L104" s="22">
        <v>142</v>
      </c>
    </row>
    <row r="105" spans="1:12" x14ac:dyDescent="0.35">
      <c r="A105" s="17" t="s">
        <v>58</v>
      </c>
      <c r="B105"/>
      <c r="E105"/>
      <c r="F105"/>
    </row>
    <row r="106" spans="1:12" x14ac:dyDescent="0.35">
      <c r="A106" s="17"/>
      <c r="B106" s="15">
        <v>2700</v>
      </c>
      <c r="C106" s="13">
        <v>779</v>
      </c>
      <c r="D106" t="s">
        <v>99</v>
      </c>
      <c r="E106" s="12">
        <v>0</v>
      </c>
      <c r="F106" s="13" t="s">
        <v>100</v>
      </c>
      <c r="G106" s="24">
        <v>132</v>
      </c>
      <c r="H106" s="28">
        <v>134</v>
      </c>
      <c r="I106" s="30">
        <v>134</v>
      </c>
      <c r="J106" s="26">
        <v>136</v>
      </c>
      <c r="K106" s="22">
        <v>127</v>
      </c>
      <c r="L106" s="22">
        <v>115</v>
      </c>
    </row>
    <row r="107" spans="1:12" x14ac:dyDescent="0.35">
      <c r="A107" s="17" t="s">
        <v>59</v>
      </c>
      <c r="B107"/>
      <c r="E107"/>
      <c r="F107"/>
    </row>
    <row r="108" spans="1:12" x14ac:dyDescent="0.35">
      <c r="A108" s="17"/>
      <c r="B108" s="15">
        <v>2500</v>
      </c>
      <c r="C108" s="13">
        <v>801</v>
      </c>
      <c r="D108" t="s">
        <v>99</v>
      </c>
      <c r="E108" s="12">
        <v>0</v>
      </c>
      <c r="F108" s="13" t="s">
        <v>100</v>
      </c>
      <c r="G108" s="24">
        <v>141</v>
      </c>
      <c r="H108" s="28">
        <v>142</v>
      </c>
      <c r="I108" s="30">
        <v>133</v>
      </c>
      <c r="J108" s="26">
        <v>148</v>
      </c>
      <c r="K108" s="22">
        <v>125</v>
      </c>
      <c r="L108" s="22">
        <v>111</v>
      </c>
    </row>
    <row r="109" spans="1:12" x14ac:dyDescent="0.35">
      <c r="A109" s="17" t="s">
        <v>60</v>
      </c>
      <c r="B109"/>
      <c r="E109"/>
      <c r="F109"/>
    </row>
    <row r="110" spans="1:12" x14ac:dyDescent="0.35">
      <c r="A110" s="17"/>
      <c r="B110" s="15">
        <v>6300</v>
      </c>
      <c r="C110" s="13">
        <v>771</v>
      </c>
      <c r="D110" t="s">
        <v>99</v>
      </c>
      <c r="E110" s="12">
        <v>0</v>
      </c>
      <c r="F110" s="13" t="s">
        <v>100</v>
      </c>
      <c r="G110" s="24">
        <v>134</v>
      </c>
      <c r="H110" s="28">
        <v>134</v>
      </c>
      <c r="I110" s="30">
        <v>135</v>
      </c>
      <c r="J110" s="26">
        <v>139</v>
      </c>
      <c r="K110" s="22">
        <v>110</v>
      </c>
      <c r="L110" s="22">
        <v>118</v>
      </c>
    </row>
    <row r="111" spans="1:12" x14ac:dyDescent="0.35">
      <c r="A111" s="17" t="s">
        <v>93</v>
      </c>
      <c r="B111"/>
      <c r="E111"/>
      <c r="F111"/>
    </row>
    <row r="112" spans="1:12" x14ac:dyDescent="0.35">
      <c r="A112" s="17"/>
      <c r="B112" s="15">
        <v>7600</v>
      </c>
      <c r="C112" s="13">
        <v>738</v>
      </c>
      <c r="D112" t="s">
        <v>99</v>
      </c>
      <c r="E112" s="12">
        <v>0</v>
      </c>
      <c r="F112" s="13" t="s">
        <v>100</v>
      </c>
      <c r="G112" s="24">
        <v>125</v>
      </c>
      <c r="H112" s="28">
        <v>132</v>
      </c>
      <c r="I112" s="30">
        <v>108</v>
      </c>
      <c r="J112" s="26">
        <v>131</v>
      </c>
      <c r="K112" s="22">
        <v>122</v>
      </c>
      <c r="L112" s="22">
        <v>119</v>
      </c>
    </row>
    <row r="113" spans="1:12" x14ac:dyDescent="0.35">
      <c r="A113" s="17" t="s">
        <v>61</v>
      </c>
      <c r="B113"/>
      <c r="E113"/>
      <c r="F113"/>
    </row>
    <row r="114" spans="1:12" x14ac:dyDescent="0.35">
      <c r="A114" s="17"/>
      <c r="B114" s="15">
        <v>3700</v>
      </c>
      <c r="C114" s="13">
        <v>775</v>
      </c>
      <c r="D114" t="s">
        <v>99</v>
      </c>
      <c r="E114" s="12">
        <v>0</v>
      </c>
      <c r="F114" s="13" t="s">
        <v>100</v>
      </c>
      <c r="G114" s="24">
        <v>137</v>
      </c>
      <c r="H114" s="28">
        <v>133</v>
      </c>
      <c r="I114" s="30">
        <v>136</v>
      </c>
      <c r="J114" s="26">
        <v>144</v>
      </c>
      <c r="K114" s="22">
        <v>106</v>
      </c>
      <c r="L114" s="22">
        <v>118</v>
      </c>
    </row>
    <row r="115" spans="1:12" x14ac:dyDescent="0.35">
      <c r="A115" s="17"/>
      <c r="B115" s="15">
        <v>7000</v>
      </c>
      <c r="C115" s="13">
        <v>971</v>
      </c>
      <c r="D115" t="s">
        <v>99</v>
      </c>
      <c r="E115" s="12">
        <v>2</v>
      </c>
      <c r="F115" s="13">
        <v>98</v>
      </c>
      <c r="G115" s="24">
        <v>137</v>
      </c>
      <c r="H115" s="28">
        <v>133</v>
      </c>
      <c r="I115" s="30">
        <v>136</v>
      </c>
      <c r="J115" s="26">
        <v>144</v>
      </c>
      <c r="K115" s="22">
        <v>106</v>
      </c>
      <c r="L115" s="22">
        <v>118</v>
      </c>
    </row>
    <row r="116" spans="1:12" x14ac:dyDescent="0.35">
      <c r="A116" s="17"/>
      <c r="B116" s="15">
        <v>7500</v>
      </c>
      <c r="C116" s="13">
        <v>1095</v>
      </c>
      <c r="D116" t="s">
        <v>16</v>
      </c>
      <c r="E116" s="12">
        <v>2</v>
      </c>
      <c r="F116" s="13">
        <v>160</v>
      </c>
      <c r="G116" s="24">
        <v>137</v>
      </c>
      <c r="H116" s="28">
        <v>133</v>
      </c>
      <c r="I116" s="30">
        <v>136</v>
      </c>
      <c r="J116" s="26">
        <v>144</v>
      </c>
      <c r="K116" s="22">
        <v>106</v>
      </c>
      <c r="L116" s="22">
        <v>118</v>
      </c>
    </row>
    <row r="117" spans="1:12" x14ac:dyDescent="0.35">
      <c r="A117" s="17"/>
      <c r="B117" s="15">
        <v>8000</v>
      </c>
      <c r="C117" s="13">
        <v>1285</v>
      </c>
      <c r="D117" t="s">
        <v>16</v>
      </c>
      <c r="E117" s="12">
        <v>2</v>
      </c>
      <c r="F117" s="13">
        <v>255</v>
      </c>
      <c r="G117" s="24">
        <v>137</v>
      </c>
      <c r="H117" s="28">
        <v>133</v>
      </c>
      <c r="I117" s="30">
        <v>136</v>
      </c>
      <c r="J117" s="26">
        <v>144</v>
      </c>
      <c r="K117" s="22">
        <v>106</v>
      </c>
      <c r="L117" s="22">
        <v>118</v>
      </c>
    </row>
    <row r="118" spans="1:12" x14ac:dyDescent="0.35">
      <c r="A118" s="17"/>
      <c r="B118" s="15">
        <v>12000</v>
      </c>
      <c r="C118" s="13">
        <v>1795</v>
      </c>
      <c r="D118" t="s">
        <v>16</v>
      </c>
      <c r="E118" s="12">
        <v>4</v>
      </c>
      <c r="F118" s="13">
        <v>255</v>
      </c>
      <c r="G118" s="24">
        <v>137</v>
      </c>
      <c r="H118" s="28">
        <v>133</v>
      </c>
      <c r="I118" s="30">
        <v>136</v>
      </c>
      <c r="J118" s="26">
        <v>144</v>
      </c>
      <c r="K118" s="22">
        <v>106</v>
      </c>
      <c r="L118" s="22">
        <v>118</v>
      </c>
    </row>
    <row r="119" spans="1:12" x14ac:dyDescent="0.35">
      <c r="A119" s="17" t="s">
        <v>62</v>
      </c>
      <c r="B119"/>
      <c r="E119"/>
      <c r="F119"/>
    </row>
    <row r="120" spans="1:12" x14ac:dyDescent="0.35">
      <c r="A120" s="17"/>
      <c r="B120" s="15">
        <v>2600</v>
      </c>
      <c r="C120" s="13">
        <v>791</v>
      </c>
      <c r="D120" t="s">
        <v>99</v>
      </c>
      <c r="E120" s="12">
        <v>0</v>
      </c>
      <c r="F120" s="13" t="s">
        <v>100</v>
      </c>
      <c r="G120" s="24">
        <v>131</v>
      </c>
      <c r="H120" s="28">
        <v>137</v>
      </c>
      <c r="I120" s="30">
        <v>141</v>
      </c>
      <c r="J120" s="26">
        <v>133</v>
      </c>
      <c r="K120" s="22">
        <v>119</v>
      </c>
      <c r="L120" s="22">
        <v>129</v>
      </c>
    </row>
    <row r="121" spans="1:12" x14ac:dyDescent="0.35">
      <c r="A121" s="17" t="s">
        <v>63</v>
      </c>
      <c r="B121"/>
      <c r="E121"/>
      <c r="F121"/>
    </row>
    <row r="122" spans="1:12" x14ac:dyDescent="0.35">
      <c r="A122" s="17"/>
      <c r="B122" s="15">
        <v>8500</v>
      </c>
      <c r="C122" s="13">
        <v>826</v>
      </c>
      <c r="D122" t="s">
        <v>99</v>
      </c>
      <c r="E122" s="12">
        <v>0</v>
      </c>
      <c r="F122" s="13" t="s">
        <v>100</v>
      </c>
      <c r="G122" s="24">
        <v>140</v>
      </c>
      <c r="H122" s="28">
        <v>144</v>
      </c>
      <c r="I122" s="30">
        <v>140</v>
      </c>
      <c r="J122" s="26">
        <v>140</v>
      </c>
      <c r="K122" s="22">
        <v>144</v>
      </c>
      <c r="L122" s="22">
        <v>117</v>
      </c>
    </row>
    <row r="123" spans="1:12" x14ac:dyDescent="0.35">
      <c r="A123" s="17"/>
      <c r="B123" s="15">
        <v>18000</v>
      </c>
      <c r="C123" s="13">
        <v>1218</v>
      </c>
      <c r="D123" t="s">
        <v>99</v>
      </c>
      <c r="E123" s="12">
        <v>4</v>
      </c>
      <c r="F123" s="13">
        <v>98</v>
      </c>
      <c r="G123" s="24">
        <v>140</v>
      </c>
      <c r="H123" s="28">
        <v>144</v>
      </c>
      <c r="I123" s="30">
        <v>140</v>
      </c>
      <c r="J123" s="26">
        <v>140</v>
      </c>
      <c r="K123" s="22">
        <v>144</v>
      </c>
      <c r="L123" s="22">
        <v>117</v>
      </c>
    </row>
    <row r="124" spans="1:12" x14ac:dyDescent="0.35">
      <c r="A124" s="17" t="s">
        <v>64</v>
      </c>
      <c r="B124"/>
      <c r="E124"/>
      <c r="F124"/>
    </row>
    <row r="125" spans="1:12" x14ac:dyDescent="0.35">
      <c r="A125" s="17"/>
      <c r="B125" s="15">
        <v>6000</v>
      </c>
      <c r="C125" s="13">
        <v>821</v>
      </c>
      <c r="D125" t="s">
        <v>99</v>
      </c>
      <c r="E125" s="12">
        <v>0</v>
      </c>
      <c r="F125" s="13" t="s">
        <v>100</v>
      </c>
      <c r="G125" s="24">
        <v>134</v>
      </c>
      <c r="H125" s="28">
        <v>149</v>
      </c>
      <c r="I125" s="30">
        <v>146</v>
      </c>
      <c r="J125" s="26">
        <v>135</v>
      </c>
      <c r="K125" s="22">
        <v>120</v>
      </c>
      <c r="L125" s="22">
        <v>136</v>
      </c>
    </row>
    <row r="126" spans="1:12" x14ac:dyDescent="0.35">
      <c r="A126" s="17" t="s">
        <v>65</v>
      </c>
      <c r="B126"/>
      <c r="E126"/>
      <c r="F126"/>
    </row>
    <row r="127" spans="1:12" x14ac:dyDescent="0.35">
      <c r="A127" s="17"/>
      <c r="B127" s="15">
        <v>3600</v>
      </c>
      <c r="C127" s="13">
        <v>783</v>
      </c>
      <c r="D127" t="s">
        <v>99</v>
      </c>
      <c r="E127" s="12">
        <v>0</v>
      </c>
      <c r="F127" s="13" t="s">
        <v>100</v>
      </c>
      <c r="G127" s="24">
        <v>132</v>
      </c>
      <c r="H127" s="28">
        <v>137</v>
      </c>
      <c r="I127" s="30">
        <v>134</v>
      </c>
      <c r="J127" s="26">
        <v>135</v>
      </c>
      <c r="K127" s="22">
        <v>124</v>
      </c>
      <c r="L127" s="22">
        <v>120</v>
      </c>
    </row>
    <row r="128" spans="1:12" x14ac:dyDescent="0.35">
      <c r="A128" s="17" t="s">
        <v>66</v>
      </c>
      <c r="B128"/>
      <c r="E128"/>
      <c r="F128"/>
    </row>
    <row r="129" spans="1:12" x14ac:dyDescent="0.35">
      <c r="A129" s="17"/>
      <c r="B129" s="15">
        <v>1200</v>
      </c>
      <c r="C129" s="13">
        <v>700</v>
      </c>
      <c r="D129" t="s">
        <v>99</v>
      </c>
      <c r="E129" s="12">
        <v>0</v>
      </c>
      <c r="F129" s="13" t="s">
        <v>100</v>
      </c>
      <c r="G129" s="24">
        <v>120</v>
      </c>
      <c r="H129" s="28">
        <v>114</v>
      </c>
      <c r="I129" s="30">
        <v>114</v>
      </c>
      <c r="J129" s="26">
        <v>130</v>
      </c>
      <c r="K129" s="22">
        <v>112</v>
      </c>
      <c r="L129" s="22">
        <v>109</v>
      </c>
    </row>
    <row r="130" spans="1:12" x14ac:dyDescent="0.35">
      <c r="A130" s="17" t="s">
        <v>67</v>
      </c>
      <c r="B130"/>
      <c r="E130"/>
      <c r="F130"/>
    </row>
    <row r="131" spans="1:12" x14ac:dyDescent="0.35">
      <c r="A131" s="17"/>
      <c r="B131" s="15">
        <v>7600</v>
      </c>
      <c r="C131" s="13">
        <v>752</v>
      </c>
      <c r="D131" t="s">
        <v>99</v>
      </c>
      <c r="E131" s="12">
        <v>0</v>
      </c>
      <c r="F131" s="13" t="s">
        <v>100</v>
      </c>
      <c r="G131" s="24">
        <v>148</v>
      </c>
      <c r="H131" s="28">
        <v>148</v>
      </c>
      <c r="I131" s="30">
        <v>144</v>
      </c>
      <c r="J131" s="26">
        <v>153</v>
      </c>
      <c r="L131" s="22">
        <v>158</v>
      </c>
    </row>
    <row r="132" spans="1:12" x14ac:dyDescent="0.35">
      <c r="A132" s="17" t="s">
        <v>68</v>
      </c>
      <c r="B132"/>
      <c r="E132"/>
      <c r="F132"/>
    </row>
    <row r="133" spans="1:12" x14ac:dyDescent="0.35">
      <c r="A133" s="17"/>
      <c r="B133" s="15">
        <v>1400</v>
      </c>
      <c r="C133" s="13">
        <v>844</v>
      </c>
      <c r="D133" t="s">
        <v>99</v>
      </c>
      <c r="E133" s="12">
        <v>0</v>
      </c>
      <c r="F133" s="13" t="s">
        <v>100</v>
      </c>
      <c r="G133" s="24">
        <v>144</v>
      </c>
      <c r="H133" s="28">
        <v>145</v>
      </c>
      <c r="I133" s="30">
        <v>144</v>
      </c>
      <c r="J133" s="26">
        <v>143</v>
      </c>
      <c r="K133" s="22">
        <v>151</v>
      </c>
      <c r="L133" s="22">
        <v>116</v>
      </c>
    </row>
    <row r="134" spans="1:12" x14ac:dyDescent="0.35">
      <c r="A134" s="17" t="s">
        <v>69</v>
      </c>
      <c r="B134"/>
      <c r="E134"/>
      <c r="F134"/>
    </row>
    <row r="135" spans="1:12" x14ac:dyDescent="0.35">
      <c r="A135" s="17"/>
      <c r="B135" s="15">
        <v>13000</v>
      </c>
      <c r="C135" s="13">
        <v>809</v>
      </c>
      <c r="D135" t="s">
        <v>99</v>
      </c>
      <c r="E135" s="12">
        <v>0</v>
      </c>
      <c r="F135" s="13" t="s">
        <v>100</v>
      </c>
      <c r="G135" s="24">
        <v>144</v>
      </c>
      <c r="H135" s="28">
        <v>136</v>
      </c>
      <c r="I135" s="30">
        <v>142</v>
      </c>
      <c r="J135" s="26">
        <v>153</v>
      </c>
      <c r="K135" s="22">
        <v>111</v>
      </c>
      <c r="L135" s="22">
        <v>122</v>
      </c>
    </row>
    <row r="136" spans="1:12" x14ac:dyDescent="0.35">
      <c r="A136" s="17"/>
      <c r="B136" s="15">
        <v>20000</v>
      </c>
      <c r="C136" s="13">
        <v>1201</v>
      </c>
      <c r="D136" t="s">
        <v>99</v>
      </c>
      <c r="E136" s="12">
        <v>4</v>
      </c>
      <c r="F136" s="13">
        <v>98</v>
      </c>
      <c r="G136" s="24">
        <v>144</v>
      </c>
      <c r="H136" s="28">
        <v>136</v>
      </c>
      <c r="I136" s="30">
        <v>142</v>
      </c>
      <c r="J136" s="26">
        <v>153</v>
      </c>
      <c r="K136" s="22">
        <v>111</v>
      </c>
      <c r="L136" s="22">
        <v>122</v>
      </c>
    </row>
    <row r="137" spans="1:12" x14ac:dyDescent="0.35">
      <c r="A137" s="17" t="s">
        <v>70</v>
      </c>
      <c r="B137"/>
      <c r="E137"/>
      <c r="F137"/>
    </row>
    <row r="138" spans="1:12" x14ac:dyDescent="0.35">
      <c r="A138" s="17"/>
      <c r="B138" s="15">
        <v>1500</v>
      </c>
      <c r="C138" s="13">
        <v>800</v>
      </c>
      <c r="D138" t="s">
        <v>99</v>
      </c>
      <c r="E138" s="12">
        <v>0</v>
      </c>
      <c r="F138" s="13" t="s">
        <v>100</v>
      </c>
      <c r="G138" s="24">
        <v>133</v>
      </c>
      <c r="H138" s="28">
        <v>129</v>
      </c>
      <c r="I138" s="30">
        <v>128</v>
      </c>
      <c r="J138" s="26">
        <v>135</v>
      </c>
      <c r="K138" s="22">
        <v>134</v>
      </c>
      <c r="L138" s="22">
        <v>140</v>
      </c>
    </row>
    <row r="139" spans="1:12" x14ac:dyDescent="0.35">
      <c r="A139" s="17" t="s">
        <v>71</v>
      </c>
      <c r="B139"/>
      <c r="E139"/>
      <c r="F139"/>
    </row>
    <row r="140" spans="1:12" x14ac:dyDescent="0.35">
      <c r="A140" s="17"/>
      <c r="B140" s="15">
        <v>1500</v>
      </c>
      <c r="C140" s="13">
        <v>824</v>
      </c>
      <c r="D140" t="s">
        <v>99</v>
      </c>
      <c r="E140" s="12">
        <v>1</v>
      </c>
      <c r="F140" s="13">
        <v>98</v>
      </c>
      <c r="G140" s="24">
        <v>131</v>
      </c>
      <c r="H140" s="28">
        <v>114</v>
      </c>
      <c r="I140" s="30">
        <v>111</v>
      </c>
      <c r="J140" s="26">
        <v>125</v>
      </c>
      <c r="K140" s="22">
        <v>134</v>
      </c>
      <c r="L140" s="22">
        <v>110</v>
      </c>
    </row>
    <row r="141" spans="1:12" x14ac:dyDescent="0.35">
      <c r="A141" s="17" t="s">
        <v>72</v>
      </c>
      <c r="B141"/>
      <c r="E141"/>
      <c r="F141"/>
    </row>
    <row r="142" spans="1:12" x14ac:dyDescent="0.35">
      <c r="A142" s="17"/>
      <c r="B142" s="15">
        <v>1700</v>
      </c>
      <c r="C142" s="13">
        <v>753</v>
      </c>
      <c r="D142" t="s">
        <v>99</v>
      </c>
      <c r="E142" s="12">
        <v>0</v>
      </c>
      <c r="F142" s="13" t="s">
        <v>100</v>
      </c>
      <c r="G142" s="24">
        <v>133</v>
      </c>
      <c r="H142" s="28">
        <v>127</v>
      </c>
      <c r="I142" s="30">
        <v>127</v>
      </c>
      <c r="J142" s="26">
        <v>132</v>
      </c>
      <c r="K142" s="22">
        <v>113</v>
      </c>
      <c r="L142" s="22">
        <v>120</v>
      </c>
    </row>
    <row r="143" spans="1:12" x14ac:dyDescent="0.35">
      <c r="A143" s="17" t="s">
        <v>73</v>
      </c>
      <c r="B143"/>
      <c r="E143"/>
      <c r="F143"/>
    </row>
    <row r="144" spans="1:12" x14ac:dyDescent="0.35">
      <c r="A144" s="17"/>
      <c r="B144" s="15">
        <v>7400</v>
      </c>
      <c r="C144" s="13">
        <v>740</v>
      </c>
      <c r="D144" t="s">
        <v>99</v>
      </c>
      <c r="E144" s="12">
        <v>0</v>
      </c>
      <c r="F144" s="13" t="s">
        <v>100</v>
      </c>
      <c r="G144" s="24">
        <v>166</v>
      </c>
      <c r="H144" s="28">
        <v>138</v>
      </c>
      <c r="I144" s="30">
        <v>131</v>
      </c>
      <c r="J144" s="26">
        <v>151</v>
      </c>
      <c r="L144" s="22">
        <v>153</v>
      </c>
    </row>
    <row r="145" spans="1:12" x14ac:dyDescent="0.35">
      <c r="A145" s="17" t="s">
        <v>74</v>
      </c>
      <c r="B145"/>
      <c r="E145"/>
      <c r="F145"/>
    </row>
    <row r="146" spans="1:12" x14ac:dyDescent="0.35">
      <c r="A146" s="17"/>
      <c r="B146" s="15">
        <v>6500</v>
      </c>
      <c r="C146" s="13">
        <v>512</v>
      </c>
      <c r="D146" t="s">
        <v>99</v>
      </c>
      <c r="E146" s="12">
        <v>0</v>
      </c>
      <c r="F146" s="13" t="s">
        <v>100</v>
      </c>
      <c r="G146" s="24">
        <v>84</v>
      </c>
      <c r="H146" s="28">
        <v>81</v>
      </c>
      <c r="I146" s="30">
        <v>99</v>
      </c>
      <c r="J146" s="26">
        <v>83</v>
      </c>
      <c r="K146" s="22">
        <v>82</v>
      </c>
      <c r="L146" s="22">
        <v>82</v>
      </c>
    </row>
    <row r="147" spans="1:12" x14ac:dyDescent="0.35">
      <c r="A147" s="17" t="s">
        <v>75</v>
      </c>
      <c r="B147"/>
      <c r="E147"/>
      <c r="F147"/>
    </row>
    <row r="148" spans="1:12" x14ac:dyDescent="0.35">
      <c r="A148" s="17"/>
      <c r="B148" s="15">
        <v>5000</v>
      </c>
      <c r="C148" s="13">
        <v>758</v>
      </c>
      <c r="D148" t="s">
        <v>99</v>
      </c>
      <c r="E148" s="12">
        <v>0</v>
      </c>
      <c r="F148" s="13" t="s">
        <v>100</v>
      </c>
      <c r="G148" s="24">
        <v>130</v>
      </c>
      <c r="H148" s="28">
        <v>129</v>
      </c>
      <c r="I148" s="30">
        <v>119</v>
      </c>
      <c r="J148" s="26">
        <v>135</v>
      </c>
      <c r="K148" s="22">
        <v>117</v>
      </c>
      <c r="L148" s="22">
        <v>127</v>
      </c>
    </row>
    <row r="149" spans="1:12" x14ac:dyDescent="0.35">
      <c r="A149" s="17"/>
      <c r="B149" s="15">
        <v>7600</v>
      </c>
      <c r="C149" s="13">
        <v>954</v>
      </c>
      <c r="D149" t="s">
        <v>99</v>
      </c>
      <c r="E149" s="12">
        <v>2</v>
      </c>
      <c r="F149" s="13">
        <v>98</v>
      </c>
      <c r="G149" s="24">
        <v>130</v>
      </c>
      <c r="H149" s="28">
        <v>129</v>
      </c>
      <c r="I149" s="30">
        <v>119</v>
      </c>
      <c r="J149" s="26">
        <v>135</v>
      </c>
      <c r="K149" s="22">
        <v>117</v>
      </c>
      <c r="L149" s="22">
        <v>127</v>
      </c>
    </row>
    <row r="150" spans="1:12" x14ac:dyDescent="0.35">
      <c r="A150" s="17"/>
      <c r="B150" s="15">
        <v>10500</v>
      </c>
      <c r="C150" s="13">
        <v>1150</v>
      </c>
      <c r="D150" t="s">
        <v>99</v>
      </c>
      <c r="E150" s="12">
        <v>4</v>
      </c>
      <c r="F150" s="13">
        <v>98</v>
      </c>
      <c r="G150" s="24">
        <v>130</v>
      </c>
      <c r="H150" s="28">
        <v>129</v>
      </c>
      <c r="I150" s="30">
        <v>119</v>
      </c>
      <c r="J150" s="26">
        <v>135</v>
      </c>
      <c r="K150" s="22">
        <v>117</v>
      </c>
      <c r="L150" s="22">
        <v>127</v>
      </c>
    </row>
    <row r="151" spans="1:12" x14ac:dyDescent="0.35">
      <c r="A151" s="17" t="s">
        <v>76</v>
      </c>
      <c r="B151"/>
      <c r="E151"/>
      <c r="F151"/>
    </row>
    <row r="152" spans="1:12" x14ac:dyDescent="0.35">
      <c r="A152" s="17"/>
      <c r="B152" s="15">
        <v>6100</v>
      </c>
      <c r="C152" s="13">
        <v>732</v>
      </c>
      <c r="D152" t="s">
        <v>99</v>
      </c>
      <c r="E152" s="12">
        <v>0</v>
      </c>
      <c r="F152" s="13" t="s">
        <v>100</v>
      </c>
      <c r="G152" s="24">
        <v>132</v>
      </c>
      <c r="H152" s="28">
        <v>128</v>
      </c>
      <c r="I152" s="30">
        <v>108</v>
      </c>
      <c r="J152" s="26">
        <v>127</v>
      </c>
      <c r="K152" s="22">
        <v>114</v>
      </c>
      <c r="L152" s="22">
        <v>122</v>
      </c>
    </row>
    <row r="153" spans="1:12" x14ac:dyDescent="0.35">
      <c r="A153" s="17"/>
      <c r="B153" s="15">
        <v>8500</v>
      </c>
      <c r="C153" s="13">
        <v>820</v>
      </c>
      <c r="D153" t="s">
        <v>99</v>
      </c>
      <c r="E153" s="12">
        <v>0</v>
      </c>
      <c r="F153" s="13" t="s">
        <v>100</v>
      </c>
      <c r="G153" s="24">
        <v>145</v>
      </c>
      <c r="H153" s="28">
        <v>150</v>
      </c>
      <c r="I153" s="30">
        <v>146</v>
      </c>
      <c r="J153" s="26">
        <v>142</v>
      </c>
      <c r="K153" s="22">
        <v>114</v>
      </c>
      <c r="L153" s="22">
        <v>122</v>
      </c>
    </row>
    <row r="154" spans="1:12" x14ac:dyDescent="0.35">
      <c r="A154" s="17"/>
      <c r="B154" s="15">
        <v>18000</v>
      </c>
      <c r="C154" s="13">
        <v>1212</v>
      </c>
      <c r="D154" t="s">
        <v>99</v>
      </c>
      <c r="E154" s="12">
        <v>4</v>
      </c>
      <c r="F154" s="13">
        <v>98</v>
      </c>
      <c r="G154" s="24">
        <v>145</v>
      </c>
      <c r="H154" s="28">
        <v>150</v>
      </c>
      <c r="I154" s="30">
        <v>146</v>
      </c>
      <c r="J154" s="26">
        <v>142</v>
      </c>
      <c r="K154" s="22">
        <v>114</v>
      </c>
      <c r="L154" s="22">
        <v>122</v>
      </c>
    </row>
    <row r="155" spans="1:12" x14ac:dyDescent="0.35">
      <c r="A155" s="17"/>
      <c r="B155" s="15">
        <v>23000</v>
      </c>
      <c r="C155" s="13">
        <v>1840</v>
      </c>
      <c r="D155" t="s">
        <v>16</v>
      </c>
      <c r="E155" s="12">
        <v>4</v>
      </c>
      <c r="F155" s="13">
        <v>255</v>
      </c>
      <c r="G155" s="24">
        <v>145</v>
      </c>
      <c r="H155" s="28">
        <v>150</v>
      </c>
      <c r="I155" s="30">
        <v>146</v>
      </c>
      <c r="J155" s="26">
        <v>142</v>
      </c>
      <c r="K155" s="22">
        <v>114</v>
      </c>
      <c r="L155" s="22">
        <v>122</v>
      </c>
    </row>
    <row r="156" spans="1:12" x14ac:dyDescent="0.35">
      <c r="A156" s="17" t="s">
        <v>77</v>
      </c>
      <c r="B156"/>
      <c r="E156"/>
      <c r="F156"/>
    </row>
    <row r="157" spans="1:12" x14ac:dyDescent="0.35">
      <c r="A157" s="17"/>
      <c r="B157" s="15">
        <v>4500</v>
      </c>
      <c r="C157" s="13">
        <v>767</v>
      </c>
      <c r="D157" t="s">
        <v>99</v>
      </c>
      <c r="E157" s="12">
        <v>0</v>
      </c>
      <c r="F157" s="13" t="s">
        <v>100</v>
      </c>
      <c r="G157" s="24">
        <v>133</v>
      </c>
      <c r="H157" s="28">
        <v>136</v>
      </c>
      <c r="I157" s="30">
        <v>136</v>
      </c>
      <c r="J157" s="26">
        <v>137</v>
      </c>
      <c r="K157" s="22">
        <v>113</v>
      </c>
      <c r="L157" s="22">
        <v>111</v>
      </c>
    </row>
    <row r="158" spans="1:12" x14ac:dyDescent="0.35">
      <c r="A158" s="17" t="s">
        <v>78</v>
      </c>
      <c r="B158"/>
      <c r="E158"/>
      <c r="F158"/>
    </row>
    <row r="159" spans="1:12" x14ac:dyDescent="0.35">
      <c r="A159" s="17"/>
      <c r="B159" s="15">
        <v>2800</v>
      </c>
      <c r="C159" s="13">
        <v>815</v>
      </c>
      <c r="D159" t="s">
        <v>99</v>
      </c>
      <c r="E159" s="12">
        <v>0</v>
      </c>
      <c r="F159" s="13" t="s">
        <v>100</v>
      </c>
      <c r="G159" s="24">
        <v>133</v>
      </c>
      <c r="H159" s="28">
        <v>139</v>
      </c>
      <c r="I159" s="30">
        <v>133</v>
      </c>
      <c r="J159" s="26">
        <v>131</v>
      </c>
      <c r="K159" s="22">
        <v>149</v>
      </c>
      <c r="L159" s="22">
        <v>129</v>
      </c>
    </row>
    <row r="160" spans="1:12" x14ac:dyDescent="0.35">
      <c r="A160" s="17" t="s">
        <v>79</v>
      </c>
      <c r="B160"/>
      <c r="E160"/>
      <c r="F160"/>
    </row>
    <row r="161" spans="1:12" x14ac:dyDescent="0.35">
      <c r="A161" s="17"/>
      <c r="B161" s="15">
        <v>2200</v>
      </c>
      <c r="C161" s="13">
        <v>790</v>
      </c>
      <c r="D161" t="s">
        <v>99</v>
      </c>
      <c r="E161" s="12">
        <v>0</v>
      </c>
      <c r="F161" s="13" t="s">
        <v>100</v>
      </c>
      <c r="G161" s="24">
        <v>144</v>
      </c>
      <c r="H161" s="28">
        <v>139</v>
      </c>
      <c r="I161" s="30">
        <v>138</v>
      </c>
      <c r="J161" s="26">
        <v>144</v>
      </c>
      <c r="K161" s="22">
        <v>113</v>
      </c>
      <c r="L161" s="22">
        <v>111</v>
      </c>
    </row>
    <row r="162" spans="1:12" x14ac:dyDescent="0.35">
      <c r="A162" s="17" t="s">
        <v>80</v>
      </c>
      <c r="B162"/>
      <c r="E162"/>
      <c r="F162"/>
    </row>
    <row r="163" spans="1:12" x14ac:dyDescent="0.35">
      <c r="A163" s="17"/>
      <c r="B163" s="15">
        <v>3800</v>
      </c>
      <c r="C163" s="13">
        <v>748</v>
      </c>
      <c r="D163" t="s">
        <v>99</v>
      </c>
      <c r="E163" s="12">
        <v>0</v>
      </c>
      <c r="F163" s="13" t="s">
        <v>100</v>
      </c>
      <c r="G163" s="24">
        <v>127</v>
      </c>
      <c r="H163" s="28">
        <v>136</v>
      </c>
      <c r="I163" s="30">
        <v>123</v>
      </c>
      <c r="J163" s="26">
        <v>133</v>
      </c>
      <c r="K163" s="22">
        <v>115</v>
      </c>
      <c r="L163" s="22">
        <v>113</v>
      </c>
    </row>
    <row r="164" spans="1:12" x14ac:dyDescent="0.35">
      <c r="A164" s="17" t="s">
        <v>81</v>
      </c>
      <c r="B164"/>
      <c r="E164"/>
      <c r="F164"/>
    </row>
    <row r="165" spans="1:12" x14ac:dyDescent="0.35">
      <c r="A165" s="17"/>
      <c r="B165" s="15">
        <v>1800</v>
      </c>
      <c r="C165" s="13">
        <v>740</v>
      </c>
      <c r="D165" t="s">
        <v>99</v>
      </c>
      <c r="E165" s="12">
        <v>0</v>
      </c>
      <c r="F165" s="13" t="s">
        <v>100</v>
      </c>
      <c r="G165" s="24">
        <v>120</v>
      </c>
      <c r="H165" s="28">
        <v>125</v>
      </c>
      <c r="I165" s="30">
        <v>120</v>
      </c>
      <c r="J165" s="26">
        <v>122</v>
      </c>
      <c r="K165" s="22">
        <v>134</v>
      </c>
      <c r="L165" s="22">
        <v>118</v>
      </c>
    </row>
    <row r="166" spans="1:12" x14ac:dyDescent="0.35">
      <c r="A166" s="17" t="s">
        <v>82</v>
      </c>
      <c r="B166"/>
      <c r="E166"/>
      <c r="F166"/>
    </row>
    <row r="167" spans="1:12" x14ac:dyDescent="0.35">
      <c r="A167" s="17"/>
      <c r="B167" s="15">
        <v>1800</v>
      </c>
      <c r="C167" s="13">
        <v>700</v>
      </c>
      <c r="D167" t="s">
        <v>99</v>
      </c>
      <c r="E167" s="12">
        <v>0</v>
      </c>
      <c r="F167" s="13" t="s">
        <v>100</v>
      </c>
      <c r="G167" s="24">
        <v>113</v>
      </c>
      <c r="H167" s="28">
        <v>116</v>
      </c>
      <c r="I167" s="30">
        <v>93</v>
      </c>
      <c r="J167" s="26">
        <v>150</v>
      </c>
      <c r="K167" s="22">
        <v>116</v>
      </c>
      <c r="L167" s="22">
        <v>111</v>
      </c>
    </row>
    <row r="168" spans="1:12" x14ac:dyDescent="0.35">
      <c r="A168" s="17"/>
      <c r="B168" s="15">
        <v>4500</v>
      </c>
      <c r="C168" s="13">
        <v>1092</v>
      </c>
      <c r="D168" t="s">
        <v>99</v>
      </c>
      <c r="E168" s="12">
        <v>4</v>
      </c>
      <c r="F168" s="13">
        <v>98</v>
      </c>
      <c r="G168" s="24">
        <v>113</v>
      </c>
      <c r="H168" s="28">
        <v>116</v>
      </c>
      <c r="I168" s="30">
        <v>93</v>
      </c>
      <c r="J168" s="26">
        <v>150</v>
      </c>
      <c r="K168" s="22">
        <v>116</v>
      </c>
      <c r="L168" s="22">
        <v>111</v>
      </c>
    </row>
    <row r="169" spans="1:12" x14ac:dyDescent="0.35">
      <c r="A169" s="17"/>
      <c r="B169" s="15">
        <v>6500</v>
      </c>
      <c r="C169" s="13">
        <v>1720</v>
      </c>
      <c r="D169" t="s">
        <v>16</v>
      </c>
      <c r="E169" s="12">
        <v>4</v>
      </c>
      <c r="F169" s="13">
        <v>255</v>
      </c>
      <c r="G169" s="24">
        <v>113</v>
      </c>
      <c r="H169" s="28">
        <v>116</v>
      </c>
      <c r="I169" s="30">
        <v>93</v>
      </c>
      <c r="J169" s="26">
        <v>150</v>
      </c>
      <c r="K169" s="22">
        <v>116</v>
      </c>
      <c r="L169" s="22">
        <v>111</v>
      </c>
    </row>
    <row r="170" spans="1:12" x14ac:dyDescent="0.35">
      <c r="A170" s="17" t="s">
        <v>83</v>
      </c>
      <c r="B170"/>
      <c r="E170"/>
      <c r="F170"/>
    </row>
    <row r="171" spans="1:12" x14ac:dyDescent="0.35">
      <c r="A171" s="17"/>
      <c r="B171" s="15">
        <v>2400</v>
      </c>
      <c r="C171" s="13">
        <v>761</v>
      </c>
      <c r="D171" t="s">
        <v>99</v>
      </c>
      <c r="E171" s="12">
        <v>0</v>
      </c>
      <c r="F171" s="13" t="s">
        <v>100</v>
      </c>
      <c r="G171" s="24">
        <v>132</v>
      </c>
      <c r="H171" s="28">
        <v>142</v>
      </c>
      <c r="I171" s="30">
        <v>132</v>
      </c>
      <c r="J171" s="26">
        <v>133</v>
      </c>
      <c r="K171" s="22">
        <v>103</v>
      </c>
      <c r="L171" s="22">
        <v>118</v>
      </c>
    </row>
    <row r="172" spans="1:12" x14ac:dyDescent="0.35">
      <c r="A172" s="17" t="s">
        <v>84</v>
      </c>
      <c r="B172"/>
      <c r="E172"/>
      <c r="F172"/>
    </row>
    <row r="173" spans="1:12" x14ac:dyDescent="0.35">
      <c r="A173" s="17"/>
      <c r="B173" s="15">
        <v>4700</v>
      </c>
      <c r="C173" s="13">
        <v>765</v>
      </c>
      <c r="D173" t="s">
        <v>99</v>
      </c>
      <c r="E173" s="12">
        <v>0</v>
      </c>
      <c r="F173" s="13" t="s">
        <v>100</v>
      </c>
      <c r="G173" s="24">
        <v>132</v>
      </c>
      <c r="H173" s="28">
        <v>130</v>
      </c>
      <c r="I173" s="30">
        <v>133</v>
      </c>
      <c r="J173" s="26">
        <v>146</v>
      </c>
      <c r="K173" s="22">
        <v>113</v>
      </c>
      <c r="L173" s="22">
        <v>110</v>
      </c>
    </row>
    <row r="174" spans="1:12" x14ac:dyDescent="0.35">
      <c r="A174" s="17"/>
      <c r="B174" s="15">
        <v>7600</v>
      </c>
      <c r="C174" s="13">
        <v>961</v>
      </c>
      <c r="D174" t="s">
        <v>99</v>
      </c>
      <c r="E174" s="12">
        <v>2</v>
      </c>
      <c r="F174" s="13">
        <v>98</v>
      </c>
      <c r="G174" s="24">
        <v>132</v>
      </c>
      <c r="H174" s="28">
        <v>130</v>
      </c>
      <c r="I174" s="30">
        <v>133</v>
      </c>
      <c r="J174" s="26">
        <v>146</v>
      </c>
      <c r="K174" s="22">
        <v>113</v>
      </c>
      <c r="L174" s="22">
        <v>110</v>
      </c>
    </row>
    <row r="175" spans="1:12" x14ac:dyDescent="0.35">
      <c r="A175" s="17"/>
      <c r="B175" s="15">
        <v>9600</v>
      </c>
      <c r="C175" s="13">
        <v>1059</v>
      </c>
      <c r="D175" t="s">
        <v>99</v>
      </c>
      <c r="E175" s="12">
        <v>3</v>
      </c>
      <c r="F175" s="13">
        <v>98</v>
      </c>
      <c r="G175" s="24">
        <v>132</v>
      </c>
      <c r="H175" s="28">
        <v>130</v>
      </c>
      <c r="I175" s="30">
        <v>133</v>
      </c>
      <c r="J175" s="26">
        <v>146</v>
      </c>
      <c r="K175" s="22">
        <v>113</v>
      </c>
      <c r="L175" s="22">
        <v>110</v>
      </c>
    </row>
    <row r="176" spans="1:12" x14ac:dyDescent="0.35">
      <c r="A176" s="17" t="s">
        <v>85</v>
      </c>
      <c r="B176"/>
      <c r="E176"/>
      <c r="F176"/>
    </row>
    <row r="177" spans="1:12" x14ac:dyDescent="0.35">
      <c r="A177" s="17"/>
      <c r="B177" s="15">
        <v>6100</v>
      </c>
      <c r="C177" s="13">
        <v>735</v>
      </c>
      <c r="D177" t="s">
        <v>99</v>
      </c>
      <c r="E177" s="12">
        <v>0</v>
      </c>
      <c r="F177" s="13" t="s">
        <v>100</v>
      </c>
      <c r="G177" s="24">
        <v>137</v>
      </c>
      <c r="H177" s="28">
        <v>124</v>
      </c>
      <c r="I177" s="30">
        <v>122</v>
      </c>
      <c r="J177" s="26">
        <v>131</v>
      </c>
      <c r="K177" s="22">
        <v>107</v>
      </c>
      <c r="L177" s="22">
        <v>113</v>
      </c>
    </row>
    <row r="178" spans="1:12" x14ac:dyDescent="0.35">
      <c r="A178" s="17" t="s">
        <v>86</v>
      </c>
      <c r="B178"/>
      <c r="E178"/>
      <c r="F178"/>
    </row>
    <row r="179" spans="1:12" x14ac:dyDescent="0.35">
      <c r="A179" s="17"/>
      <c r="B179" s="15">
        <v>6100</v>
      </c>
      <c r="C179" s="13">
        <v>753</v>
      </c>
      <c r="D179" t="s">
        <v>99</v>
      </c>
      <c r="E179" s="12">
        <v>0</v>
      </c>
      <c r="F179" s="13" t="s">
        <v>100</v>
      </c>
      <c r="G179" s="24">
        <v>149</v>
      </c>
      <c r="H179" s="28">
        <v>152</v>
      </c>
      <c r="I179" s="30">
        <v>143</v>
      </c>
      <c r="J179" s="26">
        <v>151</v>
      </c>
      <c r="L179" s="22">
        <v>157</v>
      </c>
    </row>
    <row r="180" spans="1:12" x14ac:dyDescent="0.35">
      <c r="A180" s="17" t="s">
        <v>87</v>
      </c>
      <c r="B180"/>
      <c r="E180"/>
      <c r="F180"/>
    </row>
    <row r="181" spans="1:12" x14ac:dyDescent="0.35">
      <c r="A181" s="17"/>
      <c r="B181" s="15">
        <v>4000</v>
      </c>
      <c r="C181" s="13">
        <v>822</v>
      </c>
      <c r="D181" t="s">
        <v>99</v>
      </c>
      <c r="E181" s="12">
        <v>0</v>
      </c>
      <c r="F181" s="13" t="s">
        <v>100</v>
      </c>
      <c r="G181" s="24">
        <v>148</v>
      </c>
      <c r="H181" s="28">
        <v>143</v>
      </c>
      <c r="I181" s="30">
        <v>139</v>
      </c>
      <c r="J181" s="26">
        <v>140</v>
      </c>
      <c r="K181" s="22">
        <v>127</v>
      </c>
      <c r="L181" s="22">
        <v>124</v>
      </c>
    </row>
    <row r="182" spans="1:12" x14ac:dyDescent="0.35">
      <c r="A182" s="17" t="s">
        <v>88</v>
      </c>
      <c r="B182"/>
      <c r="E182"/>
      <c r="F182"/>
    </row>
    <row r="183" spans="1:12" x14ac:dyDescent="0.35">
      <c r="A183" s="17"/>
      <c r="B183" s="15">
        <v>8200</v>
      </c>
      <c r="C183" s="13">
        <v>808</v>
      </c>
      <c r="D183" t="s">
        <v>99</v>
      </c>
      <c r="E183" s="12">
        <v>0</v>
      </c>
      <c r="F183" s="13" t="s">
        <v>100</v>
      </c>
      <c r="G183" s="24">
        <v>142</v>
      </c>
      <c r="H183" s="28">
        <v>131</v>
      </c>
      <c r="I183" s="30">
        <v>132</v>
      </c>
      <c r="J183" s="26">
        <v>145</v>
      </c>
      <c r="K183" s="22">
        <v>138</v>
      </c>
      <c r="L183" s="22">
        <v>119</v>
      </c>
    </row>
    <row r="184" spans="1:12" x14ac:dyDescent="0.35">
      <c r="A184" s="17" t="s">
        <v>89</v>
      </c>
      <c r="B184"/>
      <c r="E184"/>
      <c r="F184"/>
    </row>
    <row r="185" spans="1:12" x14ac:dyDescent="0.35">
      <c r="A185" s="17"/>
      <c r="B185" s="15">
        <v>8200</v>
      </c>
      <c r="C185" s="13">
        <v>806</v>
      </c>
      <c r="D185" t="s">
        <v>99</v>
      </c>
      <c r="E185" s="12">
        <v>0</v>
      </c>
      <c r="F185" s="13" t="s">
        <v>100</v>
      </c>
      <c r="G185" s="24">
        <v>155</v>
      </c>
      <c r="H185" s="28">
        <v>149</v>
      </c>
      <c r="I185" s="30">
        <v>140</v>
      </c>
      <c r="J185" s="26">
        <v>143</v>
      </c>
      <c r="K185" s="22">
        <v>99</v>
      </c>
      <c r="L185" s="22">
        <v>119</v>
      </c>
    </row>
    <row r="186" spans="1:12" x14ac:dyDescent="0.35">
      <c r="A186" s="17" t="s">
        <v>90</v>
      </c>
      <c r="B186"/>
      <c r="E186"/>
      <c r="F186"/>
    </row>
    <row r="187" spans="1:12" x14ac:dyDescent="0.35">
      <c r="A187" s="17"/>
      <c r="B187" s="15">
        <v>8050</v>
      </c>
      <c r="C187" s="13">
        <v>803</v>
      </c>
      <c r="D187" t="s">
        <v>99</v>
      </c>
      <c r="E187" s="12">
        <v>0</v>
      </c>
      <c r="F187" s="13" t="s">
        <v>100</v>
      </c>
      <c r="G187" s="24">
        <v>142</v>
      </c>
      <c r="H187" s="28">
        <v>137</v>
      </c>
      <c r="I187" s="30">
        <v>136</v>
      </c>
      <c r="J187" s="26">
        <v>140</v>
      </c>
      <c r="K187" s="22">
        <v>113</v>
      </c>
      <c r="L187" s="22">
        <v>134</v>
      </c>
    </row>
    <row r="188" spans="1:12" x14ac:dyDescent="0.35">
      <c r="A188" s="17"/>
      <c r="B188" s="15">
        <v>12750</v>
      </c>
      <c r="C188" s="13">
        <v>999</v>
      </c>
      <c r="D188" t="s">
        <v>99</v>
      </c>
      <c r="E188" s="12">
        <v>2</v>
      </c>
      <c r="F188" s="13">
        <v>98</v>
      </c>
      <c r="G188" s="24">
        <v>142</v>
      </c>
      <c r="H188" s="28">
        <v>137</v>
      </c>
      <c r="I188" s="30">
        <v>136</v>
      </c>
      <c r="J188" s="26">
        <v>140</v>
      </c>
      <c r="K188" s="22">
        <v>113</v>
      </c>
      <c r="L188" s="22">
        <v>134</v>
      </c>
    </row>
    <row r="189" spans="1:12" x14ac:dyDescent="0.35">
      <c r="A189" s="17"/>
      <c r="B189" s="15">
        <v>17500</v>
      </c>
      <c r="C189" s="13">
        <v>1195</v>
      </c>
      <c r="D189" t="s">
        <v>99</v>
      </c>
      <c r="E189" s="12">
        <v>4</v>
      </c>
      <c r="F189" s="13">
        <v>98</v>
      </c>
      <c r="G189" s="24">
        <v>142</v>
      </c>
      <c r="H189" s="28">
        <v>137</v>
      </c>
      <c r="I189" s="30">
        <v>136</v>
      </c>
      <c r="J189" s="26">
        <v>140</v>
      </c>
      <c r="K189" s="22">
        <v>113</v>
      </c>
      <c r="L189" s="22">
        <v>134</v>
      </c>
    </row>
    <row r="190" spans="1:12" x14ac:dyDescent="0.35">
      <c r="A190" s="17"/>
      <c r="B190" s="15">
        <v>21000</v>
      </c>
      <c r="C190" s="13">
        <v>1451</v>
      </c>
      <c r="D190" t="s">
        <v>16</v>
      </c>
      <c r="E190" s="12">
        <v>4</v>
      </c>
      <c r="F190" s="13">
        <v>162</v>
      </c>
      <c r="G190" s="24">
        <v>142</v>
      </c>
      <c r="H190" s="28">
        <v>137</v>
      </c>
      <c r="I190" s="30">
        <v>136</v>
      </c>
      <c r="J190" s="26">
        <v>140</v>
      </c>
      <c r="K190" s="22">
        <v>113</v>
      </c>
      <c r="L190" s="22">
        <v>134</v>
      </c>
    </row>
    <row r="191" spans="1:12" x14ac:dyDescent="0.35">
      <c r="A191" s="17"/>
      <c r="B191" s="15">
        <v>25100</v>
      </c>
      <c r="C191" s="13">
        <v>1823</v>
      </c>
      <c r="D191" t="s">
        <v>16</v>
      </c>
      <c r="E191" s="12">
        <v>4</v>
      </c>
      <c r="F191" s="13">
        <v>255</v>
      </c>
      <c r="G191" s="24">
        <v>142</v>
      </c>
      <c r="H191" s="28">
        <v>137</v>
      </c>
      <c r="I191" s="30">
        <v>136</v>
      </c>
      <c r="J191" s="26">
        <v>140</v>
      </c>
      <c r="K191" s="22">
        <v>113</v>
      </c>
      <c r="L191" s="22">
        <v>134</v>
      </c>
    </row>
    <row r="192" spans="1:12" x14ac:dyDescent="0.35">
      <c r="A192" s="17" t="s">
        <v>91</v>
      </c>
      <c r="B192"/>
      <c r="E192"/>
      <c r="F192"/>
    </row>
    <row r="193" spans="1:12" x14ac:dyDescent="0.35">
      <c r="A193" s="17"/>
      <c r="B193" s="15">
        <v>5200</v>
      </c>
      <c r="C193" s="13">
        <v>815</v>
      </c>
      <c r="D193" t="s">
        <v>99</v>
      </c>
      <c r="E193" s="12">
        <v>0</v>
      </c>
      <c r="F193" s="13" t="s">
        <v>100</v>
      </c>
      <c r="G193" s="24">
        <v>138</v>
      </c>
      <c r="H193" s="28">
        <v>141</v>
      </c>
      <c r="I193" s="30">
        <v>138</v>
      </c>
      <c r="J193" s="26">
        <v>145</v>
      </c>
      <c r="K193" s="22">
        <v>133</v>
      </c>
      <c r="L193" s="22">
        <v>119</v>
      </c>
    </row>
    <row r="194" spans="1:12" x14ac:dyDescent="0.35">
      <c r="A194" s="17" t="s">
        <v>92</v>
      </c>
      <c r="B194"/>
      <c r="E194"/>
      <c r="F194"/>
    </row>
    <row r="195" spans="1:12" x14ac:dyDescent="0.35">
      <c r="A195" s="17"/>
      <c r="B195" s="15">
        <v>4200</v>
      </c>
      <c r="C195" s="13">
        <v>735</v>
      </c>
      <c r="D195" t="s">
        <v>99</v>
      </c>
      <c r="E195" s="12">
        <v>0</v>
      </c>
      <c r="F195" s="13" t="s">
        <v>100</v>
      </c>
      <c r="G195" s="24">
        <v>139</v>
      </c>
      <c r="H195" s="28">
        <v>129</v>
      </c>
      <c r="I195" s="30">
        <v>120</v>
      </c>
      <c r="J195" s="26">
        <v>117</v>
      </c>
      <c r="K195" s="22">
        <v>112</v>
      </c>
      <c r="L195" s="22">
        <v>117</v>
      </c>
    </row>
    <row r="196" spans="1:12" x14ac:dyDescent="0.35">
      <c r="A196"/>
      <c r="B196"/>
      <c r="E196"/>
      <c r="F196"/>
      <c r="G196" s="25"/>
      <c r="H196" s="29"/>
      <c r="I196" s="31"/>
      <c r="J196" s="27"/>
      <c r="K196"/>
      <c r="L196"/>
    </row>
    <row r="197" spans="1:12" x14ac:dyDescent="0.35">
      <c r="A197"/>
      <c r="B197"/>
      <c r="E197"/>
      <c r="F197"/>
      <c r="G197" s="25"/>
      <c r="H197" s="29"/>
      <c r="I197" s="31"/>
      <c r="J197" s="27"/>
      <c r="K197"/>
      <c r="L197"/>
    </row>
    <row r="198" spans="1:12" x14ac:dyDescent="0.35">
      <c r="A198"/>
      <c r="B198"/>
      <c r="E198"/>
      <c r="F198"/>
      <c r="G198" s="25"/>
      <c r="H198" s="29"/>
      <c r="I198" s="31"/>
      <c r="J198" s="27"/>
      <c r="K198"/>
      <c r="L198"/>
    </row>
    <row r="199" spans="1:12" x14ac:dyDescent="0.35">
      <c r="A199"/>
      <c r="B199"/>
      <c r="E199"/>
      <c r="F199"/>
      <c r="G199" s="25"/>
      <c r="H199" s="29"/>
      <c r="I199" s="31"/>
      <c r="J199" s="27"/>
      <c r="K199"/>
      <c r="L199"/>
    </row>
    <row r="200" spans="1:12" x14ac:dyDescent="0.35">
      <c r="A200"/>
      <c r="B200"/>
      <c r="E200"/>
      <c r="F200"/>
      <c r="G200" s="25"/>
      <c r="H200" s="29"/>
      <c r="I200" s="31"/>
      <c r="J200" s="27"/>
      <c r="K200"/>
      <c r="L200"/>
    </row>
    <row r="201" spans="1:12" x14ac:dyDescent="0.35">
      <c r="A201"/>
      <c r="B201"/>
      <c r="E201"/>
      <c r="F201"/>
      <c r="G201" s="25"/>
      <c r="H201" s="29"/>
      <c r="I201" s="31"/>
      <c r="J201" s="27"/>
      <c r="K201"/>
      <c r="L201"/>
    </row>
    <row r="202" spans="1:12" x14ac:dyDescent="0.35">
      <c r="A202"/>
      <c r="B202"/>
      <c r="E202"/>
      <c r="F202"/>
      <c r="G202" s="25"/>
      <c r="H202" s="29"/>
      <c r="I202" s="31"/>
      <c r="J202" s="27"/>
      <c r="K202"/>
      <c r="L202"/>
    </row>
    <row r="203" spans="1:12" x14ac:dyDescent="0.35">
      <c r="A203"/>
      <c r="B203"/>
      <c r="E203"/>
      <c r="F203"/>
      <c r="G203" s="25"/>
      <c r="H203" s="29"/>
      <c r="I203" s="31"/>
      <c r="J203" s="27"/>
      <c r="K203"/>
      <c r="L203"/>
    </row>
    <row r="204" spans="1:12" x14ac:dyDescent="0.35">
      <c r="A204"/>
      <c r="B204"/>
      <c r="E204"/>
      <c r="F204"/>
      <c r="G204" s="25"/>
      <c r="H204" s="29"/>
      <c r="I204" s="31"/>
      <c r="J204" s="27"/>
      <c r="K204"/>
      <c r="L204"/>
    </row>
    <row r="205" spans="1:12" x14ac:dyDescent="0.35">
      <c r="A205"/>
      <c r="B205"/>
      <c r="E205"/>
      <c r="F205"/>
      <c r="G205" s="25"/>
      <c r="H205" s="29"/>
      <c r="I205" s="31"/>
      <c r="J205" s="27"/>
      <c r="K205"/>
      <c r="L205"/>
    </row>
    <row r="206" spans="1:12" x14ac:dyDescent="0.35">
      <c r="A206"/>
      <c r="B206"/>
      <c r="E206"/>
      <c r="F206"/>
      <c r="G206" s="25"/>
      <c r="H206" s="29"/>
      <c r="I206" s="31"/>
      <c r="J206" s="27"/>
      <c r="K206"/>
      <c r="L206"/>
    </row>
    <row r="207" spans="1:12" x14ac:dyDescent="0.35">
      <c r="A207"/>
      <c r="B207"/>
      <c r="E207"/>
      <c r="F207"/>
      <c r="G207" s="25"/>
      <c r="H207" s="29"/>
      <c r="I207" s="31"/>
      <c r="J207" s="27"/>
      <c r="K207"/>
      <c r="L207"/>
    </row>
    <row r="208" spans="1:12" x14ac:dyDescent="0.35">
      <c r="A208"/>
      <c r="B208"/>
      <c r="E208"/>
      <c r="F208"/>
      <c r="G208" s="25"/>
      <c r="H208" s="29"/>
      <c r="I208" s="31"/>
      <c r="J208" s="27"/>
      <c r="K208"/>
      <c r="L208"/>
    </row>
    <row r="209" spans="3:10" customFormat="1" x14ac:dyDescent="0.35">
      <c r="C209" s="13"/>
      <c r="G209" s="25"/>
      <c r="H209" s="29"/>
      <c r="I209" s="31"/>
      <c r="J209" s="27"/>
    </row>
    <row r="210" spans="3:10" customFormat="1" x14ac:dyDescent="0.35">
      <c r="C210" s="13"/>
      <c r="G210" s="25"/>
      <c r="H210" s="29"/>
      <c r="I210" s="31"/>
      <c r="J210" s="27"/>
    </row>
    <row r="211" spans="3:10" customFormat="1" x14ac:dyDescent="0.35">
      <c r="C211" s="13"/>
      <c r="G211" s="25"/>
      <c r="H211" s="29"/>
      <c r="I211" s="31"/>
      <c r="J211" s="27"/>
    </row>
    <row r="212" spans="3:10" customFormat="1" x14ac:dyDescent="0.35">
      <c r="C212" s="13"/>
      <c r="G212" s="25"/>
      <c r="H212" s="29"/>
      <c r="I212" s="31"/>
      <c r="J212" s="27"/>
    </row>
    <row r="213" spans="3:10" customFormat="1" x14ac:dyDescent="0.35">
      <c r="C213" s="13"/>
      <c r="G213" s="25"/>
      <c r="H213" s="29"/>
      <c r="I213" s="31"/>
      <c r="J213" s="27"/>
    </row>
    <row r="214" spans="3:10" customFormat="1" x14ac:dyDescent="0.35">
      <c r="C214" s="13"/>
      <c r="G214" s="25"/>
      <c r="H214" s="29"/>
      <c r="I214" s="31"/>
      <c r="J214" s="27"/>
    </row>
    <row r="215" spans="3:10" customFormat="1" x14ac:dyDescent="0.35">
      <c r="C215" s="13"/>
      <c r="G215" s="25"/>
      <c r="H215" s="29"/>
      <c r="I215" s="31"/>
      <c r="J215" s="27"/>
    </row>
    <row r="216" spans="3:10" customFormat="1" x14ac:dyDescent="0.35">
      <c r="C216" s="13"/>
      <c r="G216" s="25"/>
      <c r="H216" s="29"/>
      <c r="I216" s="31"/>
      <c r="J216" s="27"/>
    </row>
    <row r="217" spans="3:10" customFormat="1" x14ac:dyDescent="0.35">
      <c r="C217" s="13"/>
      <c r="G217" s="25"/>
      <c r="H217" s="29"/>
      <c r="I217" s="31"/>
      <c r="J217" s="27"/>
    </row>
    <row r="218" spans="3:10" customFormat="1" x14ac:dyDescent="0.35">
      <c r="C218" s="13"/>
      <c r="G218" s="25"/>
      <c r="H218" s="29"/>
      <c r="I218" s="31"/>
      <c r="J218" s="27"/>
    </row>
    <row r="219" spans="3:10" customFormat="1" x14ac:dyDescent="0.35">
      <c r="C219" s="13"/>
      <c r="G219" s="25"/>
      <c r="H219" s="29"/>
      <c r="I219" s="31"/>
      <c r="J219" s="27"/>
    </row>
    <row r="220" spans="3:10" customFormat="1" x14ac:dyDescent="0.35">
      <c r="C220" s="13"/>
      <c r="G220" s="25"/>
      <c r="H220" s="29"/>
      <c r="I220" s="31"/>
      <c r="J220" s="27"/>
    </row>
    <row r="221" spans="3:10" customFormat="1" x14ac:dyDescent="0.35">
      <c r="C221" s="13"/>
      <c r="G221" s="25"/>
      <c r="H221" s="29"/>
      <c r="I221" s="31"/>
      <c r="J221" s="27"/>
    </row>
    <row r="222" spans="3:10" customFormat="1" x14ac:dyDescent="0.35">
      <c r="C222" s="13"/>
      <c r="G222" s="25"/>
      <c r="H222" s="29"/>
      <c r="I222" s="31"/>
      <c r="J222" s="27"/>
    </row>
    <row r="223" spans="3:10" customFormat="1" x14ac:dyDescent="0.35">
      <c r="C223" s="13"/>
      <c r="G223" s="25"/>
      <c r="H223" s="29"/>
      <c r="I223" s="31"/>
      <c r="J223" s="27"/>
    </row>
    <row r="224" spans="3:10" customFormat="1" x14ac:dyDescent="0.35">
      <c r="C224" s="13"/>
      <c r="G224" s="25"/>
      <c r="H224" s="29"/>
      <c r="I224" s="31"/>
      <c r="J224" s="27"/>
    </row>
    <row r="225" spans="3:10" customFormat="1" x14ac:dyDescent="0.35">
      <c r="C225" s="13"/>
      <c r="G225" s="25"/>
      <c r="H225" s="29"/>
      <c r="I225" s="31"/>
      <c r="J225" s="27"/>
    </row>
    <row r="226" spans="3:10" customFormat="1" x14ac:dyDescent="0.35">
      <c r="C226" s="13"/>
      <c r="G226" s="25"/>
      <c r="H226" s="29"/>
      <c r="I226" s="31"/>
      <c r="J226" s="27"/>
    </row>
    <row r="227" spans="3:10" customFormat="1" x14ac:dyDescent="0.35">
      <c r="C227" s="13"/>
      <c r="G227" s="25"/>
      <c r="H227" s="29"/>
      <c r="I227" s="31"/>
      <c r="J227" s="27"/>
    </row>
    <row r="228" spans="3:10" customFormat="1" x14ac:dyDescent="0.35">
      <c r="C228" s="13"/>
      <c r="G228" s="25"/>
      <c r="H228" s="29"/>
      <c r="I228" s="31"/>
      <c r="J228" s="27"/>
    </row>
    <row r="229" spans="3:10" customFormat="1" x14ac:dyDescent="0.35">
      <c r="C229" s="13"/>
      <c r="G229" s="25"/>
      <c r="H229" s="29"/>
      <c r="I229" s="31"/>
      <c r="J229" s="27"/>
    </row>
    <row r="230" spans="3:10" customFormat="1" x14ac:dyDescent="0.35">
      <c r="C230" s="13"/>
      <c r="G230" s="25"/>
      <c r="H230" s="29"/>
      <c r="I230" s="31"/>
      <c r="J230" s="27"/>
    </row>
    <row r="231" spans="3:10" customFormat="1" x14ac:dyDescent="0.35">
      <c r="C231" s="13"/>
      <c r="G231" s="25"/>
      <c r="H231" s="29"/>
      <c r="I231" s="31"/>
      <c r="J231" s="27"/>
    </row>
    <row r="232" spans="3:10" customFormat="1" x14ac:dyDescent="0.35">
      <c r="C232" s="13"/>
      <c r="G232" s="25"/>
      <c r="H232" s="29"/>
      <c r="I232" s="31"/>
      <c r="J232" s="27"/>
    </row>
    <row r="233" spans="3:10" customFormat="1" x14ac:dyDescent="0.35">
      <c r="C233" s="13"/>
      <c r="G233" s="25"/>
      <c r="H233" s="29"/>
      <c r="I233" s="31"/>
      <c r="J233" s="27"/>
    </row>
    <row r="234" spans="3:10" customFormat="1" x14ac:dyDescent="0.35">
      <c r="C234" s="13"/>
      <c r="G234" s="25"/>
      <c r="H234" s="29"/>
      <c r="I234" s="31"/>
      <c r="J234" s="27"/>
    </row>
    <row r="235" spans="3:10" customFormat="1" x14ac:dyDescent="0.35">
      <c r="C235" s="13"/>
      <c r="G235" s="25"/>
      <c r="H235" s="29"/>
      <c r="I235" s="31"/>
      <c r="J235" s="27"/>
    </row>
    <row r="236" spans="3:10" customFormat="1" x14ac:dyDescent="0.35">
      <c r="C236" s="13"/>
      <c r="G236" s="25"/>
      <c r="H236" s="29"/>
      <c r="I236" s="31"/>
      <c r="J236" s="27"/>
    </row>
    <row r="237" spans="3:10" customFormat="1" x14ac:dyDescent="0.35">
      <c r="C237" s="13"/>
      <c r="G237" s="25"/>
      <c r="H237" s="29"/>
      <c r="I237" s="31"/>
      <c r="J237" s="27"/>
    </row>
    <row r="238" spans="3:10" customFormat="1" x14ac:dyDescent="0.35">
      <c r="C238" s="13"/>
      <c r="G238" s="25"/>
      <c r="H238" s="29"/>
      <c r="I238" s="31"/>
      <c r="J238" s="27"/>
    </row>
    <row r="239" spans="3:10" customFormat="1" x14ac:dyDescent="0.35">
      <c r="C239" s="13"/>
      <c r="G239" s="25"/>
      <c r="H239" s="29"/>
      <c r="I239" s="31"/>
      <c r="J239" s="27"/>
    </row>
    <row r="240" spans="3:10" customFormat="1" x14ac:dyDescent="0.35">
      <c r="C240" s="13"/>
      <c r="G240" s="25"/>
      <c r="H240" s="29"/>
      <c r="I240" s="31"/>
      <c r="J240" s="27"/>
    </row>
    <row r="241" spans="3:10" customFormat="1" x14ac:dyDescent="0.35">
      <c r="C241" s="13"/>
      <c r="G241" s="25"/>
      <c r="H241" s="29"/>
      <c r="I241" s="31"/>
      <c r="J241" s="27"/>
    </row>
    <row r="242" spans="3:10" customFormat="1" x14ac:dyDescent="0.35">
      <c r="C242" s="13"/>
      <c r="G242" s="25"/>
      <c r="H242" s="29"/>
      <c r="I242" s="31"/>
      <c r="J242" s="27"/>
    </row>
    <row r="243" spans="3:10" customFormat="1" x14ac:dyDescent="0.35">
      <c r="C243" s="13"/>
      <c r="G243" s="25"/>
      <c r="H243" s="29"/>
      <c r="I243" s="31"/>
      <c r="J243" s="27"/>
    </row>
    <row r="244" spans="3:10" customFormat="1" x14ac:dyDescent="0.35">
      <c r="C244" s="13"/>
      <c r="G244" s="25"/>
      <c r="H244" s="29"/>
      <c r="I244" s="31"/>
      <c r="J244" s="27"/>
    </row>
    <row r="245" spans="3:10" customFormat="1" x14ac:dyDescent="0.35">
      <c r="C245" s="13"/>
      <c r="G245" s="25"/>
      <c r="H245" s="29"/>
      <c r="I245" s="31"/>
      <c r="J245" s="27"/>
    </row>
    <row r="246" spans="3:10" customFormat="1" x14ac:dyDescent="0.35">
      <c r="C246" s="13"/>
      <c r="G246" s="25"/>
      <c r="H246" s="29"/>
      <c r="I246" s="31"/>
      <c r="J246" s="27"/>
    </row>
    <row r="247" spans="3:10" customFormat="1" x14ac:dyDescent="0.35">
      <c r="C247" s="13"/>
      <c r="G247" s="25"/>
      <c r="H247" s="29"/>
      <c r="I247" s="31"/>
      <c r="J247" s="27"/>
    </row>
    <row r="248" spans="3:10" customFormat="1" x14ac:dyDescent="0.35">
      <c r="C248" s="13"/>
      <c r="G248" s="25"/>
      <c r="H248" s="29"/>
      <c r="I248" s="31"/>
      <c r="J248" s="27"/>
    </row>
    <row r="249" spans="3:10" customFormat="1" x14ac:dyDescent="0.35">
      <c r="C249" s="13"/>
      <c r="G249" s="25"/>
      <c r="H249" s="29"/>
      <c r="I249" s="31"/>
      <c r="J249" s="27"/>
    </row>
    <row r="250" spans="3:10" customFormat="1" x14ac:dyDescent="0.35">
      <c r="C250" s="13"/>
      <c r="G250" s="25"/>
      <c r="H250" s="29"/>
      <c r="I250" s="31"/>
      <c r="J250" s="27"/>
    </row>
    <row r="251" spans="3:10" customFormat="1" x14ac:dyDescent="0.35">
      <c r="C251" s="13"/>
      <c r="G251" s="25"/>
      <c r="H251" s="29"/>
      <c r="I251" s="31"/>
      <c r="J251" s="27"/>
    </row>
    <row r="252" spans="3:10" customFormat="1" x14ac:dyDescent="0.35">
      <c r="C252" s="13"/>
      <c r="G252" s="25"/>
      <c r="H252" s="29"/>
      <c r="I252" s="31"/>
      <c r="J252" s="27"/>
    </row>
    <row r="253" spans="3:10" customFormat="1" x14ac:dyDescent="0.35">
      <c r="C253" s="13"/>
      <c r="G253" s="25"/>
      <c r="H253" s="29"/>
      <c r="I253" s="31"/>
      <c r="J253" s="27"/>
    </row>
    <row r="254" spans="3:10" customFormat="1" x14ac:dyDescent="0.35">
      <c r="C254" s="13"/>
      <c r="G254" s="25"/>
      <c r="H254" s="29"/>
      <c r="I254" s="31"/>
      <c r="J254" s="27"/>
    </row>
    <row r="255" spans="3:10" customFormat="1" x14ac:dyDescent="0.35">
      <c r="C255" s="13"/>
      <c r="G255" s="25"/>
      <c r="H255" s="29"/>
      <c r="I255" s="31"/>
      <c r="J255" s="27"/>
    </row>
    <row r="256" spans="3:10" customFormat="1" x14ac:dyDescent="0.35">
      <c r="C256" s="13"/>
      <c r="G256" s="25"/>
      <c r="H256" s="29"/>
      <c r="I256" s="31"/>
      <c r="J256" s="27"/>
    </row>
    <row r="257" spans="3:10" customFormat="1" x14ac:dyDescent="0.35">
      <c r="C257" s="13"/>
      <c r="G257" s="25"/>
      <c r="H257" s="29"/>
      <c r="I257" s="31"/>
      <c r="J257" s="27"/>
    </row>
    <row r="258" spans="3:10" customFormat="1" x14ac:dyDescent="0.35">
      <c r="C258" s="13"/>
      <c r="G258" s="25"/>
      <c r="H258" s="29"/>
      <c r="I258" s="31"/>
      <c r="J258" s="27"/>
    </row>
    <row r="259" spans="3:10" customFormat="1" x14ac:dyDescent="0.35">
      <c r="C259" s="13"/>
      <c r="G259" s="25"/>
      <c r="H259" s="29"/>
      <c r="I259" s="31"/>
      <c r="J259" s="27"/>
    </row>
    <row r="260" spans="3:10" customFormat="1" x14ac:dyDescent="0.35">
      <c r="C260" s="13"/>
      <c r="G260" s="25"/>
      <c r="H260" s="29"/>
      <c r="I260" s="31"/>
      <c r="J260" s="27"/>
    </row>
    <row r="261" spans="3:10" customFormat="1" x14ac:dyDescent="0.35">
      <c r="C261" s="13"/>
      <c r="G261" s="25"/>
      <c r="H261" s="29"/>
      <c r="I261" s="31"/>
      <c r="J261" s="27"/>
    </row>
    <row r="262" spans="3:10" customFormat="1" x14ac:dyDescent="0.35">
      <c r="C262" s="13"/>
      <c r="G262" s="25"/>
      <c r="H262" s="29"/>
      <c r="I262" s="31"/>
      <c r="J262" s="27"/>
    </row>
    <row r="263" spans="3:10" customFormat="1" x14ac:dyDescent="0.35">
      <c r="C263" s="13"/>
      <c r="G263" s="25"/>
      <c r="H263" s="29"/>
      <c r="I263" s="31"/>
      <c r="J263" s="27"/>
    </row>
    <row r="264" spans="3:10" customFormat="1" x14ac:dyDescent="0.35">
      <c r="C264" s="13"/>
      <c r="G264" s="25"/>
      <c r="H264" s="29"/>
      <c r="I264" s="31"/>
      <c r="J264" s="27"/>
    </row>
    <row r="265" spans="3:10" customFormat="1" x14ac:dyDescent="0.35">
      <c r="C265" s="13"/>
      <c r="G265" s="25"/>
      <c r="H265" s="29"/>
      <c r="I265" s="31"/>
      <c r="J265" s="27"/>
    </row>
    <row r="266" spans="3:10" customFormat="1" x14ac:dyDescent="0.35">
      <c r="C266" s="13"/>
      <c r="G266" s="25"/>
      <c r="H266" s="29"/>
      <c r="I266" s="31"/>
      <c r="J266" s="27"/>
    </row>
    <row r="267" spans="3:10" customFormat="1" x14ac:dyDescent="0.35">
      <c r="C267" s="13"/>
      <c r="G267" s="25"/>
      <c r="H267" s="29"/>
      <c r="I267" s="31"/>
      <c r="J267" s="27"/>
    </row>
    <row r="268" spans="3:10" customFormat="1" x14ac:dyDescent="0.35">
      <c r="C268" s="13"/>
      <c r="G268" s="25"/>
      <c r="H268" s="29"/>
      <c r="I268" s="31"/>
      <c r="J268" s="27"/>
    </row>
    <row r="269" spans="3:10" customFormat="1" x14ac:dyDescent="0.35">
      <c r="C269" s="13"/>
      <c r="G269" s="25"/>
      <c r="H269" s="29"/>
      <c r="I269" s="31"/>
      <c r="J269" s="27"/>
    </row>
    <row r="270" spans="3:10" customFormat="1" x14ac:dyDescent="0.35">
      <c r="C270" s="13"/>
      <c r="G270" s="25"/>
      <c r="H270" s="29"/>
      <c r="I270" s="31"/>
      <c r="J270" s="27"/>
    </row>
    <row r="271" spans="3:10" customFormat="1" x14ac:dyDescent="0.35">
      <c r="C271" s="13"/>
      <c r="G271" s="25"/>
      <c r="H271" s="29"/>
      <c r="I271" s="31"/>
      <c r="J271" s="27"/>
    </row>
    <row r="272" spans="3:10" customFormat="1" x14ac:dyDescent="0.35">
      <c r="C272" s="13"/>
      <c r="G272" s="25"/>
      <c r="H272" s="29"/>
      <c r="I272" s="31"/>
      <c r="J272" s="27"/>
    </row>
    <row r="273" spans="3:10" customFormat="1" x14ac:dyDescent="0.35">
      <c r="C273" s="13"/>
      <c r="G273" s="25"/>
      <c r="H273" s="29"/>
      <c r="I273" s="31"/>
      <c r="J273" s="27"/>
    </row>
    <row r="274" spans="3:10" customFormat="1" x14ac:dyDescent="0.35">
      <c r="C274" s="13"/>
      <c r="G274" s="25"/>
      <c r="H274" s="29"/>
      <c r="I274" s="31"/>
      <c r="J274" s="27"/>
    </row>
    <row r="275" spans="3:10" customFormat="1" x14ac:dyDescent="0.35">
      <c r="C275" s="13"/>
      <c r="G275" s="25"/>
      <c r="H275" s="29"/>
      <c r="I275" s="31"/>
      <c r="J275" s="27"/>
    </row>
    <row r="276" spans="3:10" customFormat="1" x14ac:dyDescent="0.35">
      <c r="C276" s="13"/>
      <c r="G276" s="25"/>
      <c r="H276" s="29"/>
      <c r="I276" s="31"/>
      <c r="J276" s="27"/>
    </row>
    <row r="277" spans="3:10" customFormat="1" x14ac:dyDescent="0.35">
      <c r="C277" s="13"/>
      <c r="G277" s="25"/>
      <c r="H277" s="29"/>
      <c r="I277" s="31"/>
      <c r="J277" s="27"/>
    </row>
    <row r="278" spans="3:10" customFormat="1" x14ac:dyDescent="0.35">
      <c r="C278" s="13"/>
      <c r="G278" s="25"/>
      <c r="H278" s="29"/>
      <c r="I278" s="31"/>
      <c r="J278" s="27"/>
    </row>
    <row r="279" spans="3:10" customFormat="1" x14ac:dyDescent="0.35">
      <c r="C279" s="13"/>
      <c r="G279" s="25"/>
      <c r="H279" s="29"/>
      <c r="I279" s="31"/>
      <c r="J279" s="27"/>
    </row>
    <row r="280" spans="3:10" customFormat="1" x14ac:dyDescent="0.35">
      <c r="C280" s="13"/>
      <c r="G280" s="25"/>
      <c r="H280" s="29"/>
      <c r="I280" s="31"/>
      <c r="J280" s="27"/>
    </row>
    <row r="281" spans="3:10" customFormat="1" x14ac:dyDescent="0.35">
      <c r="C281" s="13"/>
      <c r="G281" s="25"/>
      <c r="H281" s="29"/>
      <c r="I281" s="31"/>
      <c r="J281" s="27"/>
    </row>
    <row r="282" spans="3:10" customFormat="1" x14ac:dyDescent="0.35">
      <c r="C282" s="13"/>
      <c r="G282" s="25"/>
      <c r="H282" s="29"/>
      <c r="I282" s="31"/>
      <c r="J282" s="27"/>
    </row>
    <row r="283" spans="3:10" customFormat="1" x14ac:dyDescent="0.35">
      <c r="C283" s="13"/>
      <c r="G283" s="25"/>
      <c r="H283" s="29"/>
      <c r="I283" s="31"/>
      <c r="J283" s="27"/>
    </row>
    <row r="284" spans="3:10" customFormat="1" x14ac:dyDescent="0.35">
      <c r="C284" s="13"/>
      <c r="G284" s="25"/>
      <c r="H284" s="29"/>
      <c r="I284" s="31"/>
      <c r="J284" s="27"/>
    </row>
    <row r="285" spans="3:10" customFormat="1" x14ac:dyDescent="0.35">
      <c r="C285" s="13"/>
      <c r="G285" s="25"/>
      <c r="H285" s="29"/>
      <c r="I285" s="31"/>
      <c r="J285" s="27"/>
    </row>
    <row r="286" spans="3:10" customFormat="1" x14ac:dyDescent="0.35">
      <c r="C286" s="13"/>
      <c r="G286" s="25"/>
      <c r="H286" s="29"/>
      <c r="I286" s="31"/>
      <c r="J286" s="27"/>
    </row>
    <row r="287" spans="3:10" customFormat="1" x14ac:dyDescent="0.35">
      <c r="C287" s="13"/>
      <c r="G287" s="25"/>
      <c r="H287" s="29"/>
      <c r="I287" s="31"/>
      <c r="J287" s="27"/>
    </row>
    <row r="288" spans="3:10" customFormat="1" x14ac:dyDescent="0.35">
      <c r="C288" s="13"/>
      <c r="G288" s="25"/>
      <c r="H288" s="29"/>
      <c r="I288" s="31"/>
      <c r="J288" s="27"/>
    </row>
    <row r="289" spans="3:10" customFormat="1" x14ac:dyDescent="0.35">
      <c r="C289" s="13"/>
      <c r="G289" s="25"/>
      <c r="H289" s="29"/>
      <c r="I289" s="31"/>
      <c r="J289" s="27"/>
    </row>
    <row r="290" spans="3:10" customFormat="1" x14ac:dyDescent="0.35">
      <c r="C290" s="13"/>
      <c r="G290" s="25"/>
      <c r="H290" s="29"/>
      <c r="I290" s="31"/>
      <c r="J290" s="27"/>
    </row>
    <row r="291" spans="3:10" customFormat="1" x14ac:dyDescent="0.35">
      <c r="C291" s="13"/>
      <c r="G291" s="25"/>
      <c r="H291" s="29"/>
      <c r="I291" s="31"/>
      <c r="J291" s="27"/>
    </row>
    <row r="292" spans="3:10" customFormat="1" x14ac:dyDescent="0.35">
      <c r="C292" s="13"/>
      <c r="G292" s="25"/>
      <c r="H292" s="29"/>
      <c r="I292" s="31"/>
      <c r="J292" s="27"/>
    </row>
    <row r="293" spans="3:10" customFormat="1" x14ac:dyDescent="0.35">
      <c r="C293" s="13"/>
      <c r="G293" s="25"/>
      <c r="H293" s="29"/>
      <c r="I293" s="31"/>
      <c r="J293" s="27"/>
    </row>
    <row r="294" spans="3:10" customFormat="1" x14ac:dyDescent="0.35">
      <c r="C294" s="13"/>
      <c r="G294" s="25"/>
      <c r="H294" s="29"/>
      <c r="I294" s="31"/>
      <c r="J294" s="27"/>
    </row>
    <row r="295" spans="3:10" customFormat="1" x14ac:dyDescent="0.35">
      <c r="C295" s="13"/>
      <c r="G295" s="25"/>
      <c r="H295" s="29"/>
      <c r="I295" s="31"/>
      <c r="J295" s="27"/>
    </row>
    <row r="296" spans="3:10" customFormat="1" x14ac:dyDescent="0.35">
      <c r="C296" s="13"/>
      <c r="G296" s="25"/>
      <c r="H296" s="29"/>
      <c r="I296" s="31"/>
      <c r="J296" s="27"/>
    </row>
    <row r="297" spans="3:10" customFormat="1" x14ac:dyDescent="0.35">
      <c r="C297" s="13"/>
      <c r="G297" s="25"/>
      <c r="H297" s="29"/>
      <c r="I297" s="31"/>
      <c r="J297" s="27"/>
    </row>
    <row r="298" spans="3:10" customFormat="1" x14ac:dyDescent="0.35">
      <c r="C298" s="13"/>
      <c r="G298" s="25"/>
      <c r="H298" s="29"/>
      <c r="I298" s="31"/>
      <c r="J298" s="27"/>
    </row>
    <row r="299" spans="3:10" customFormat="1" x14ac:dyDescent="0.35">
      <c r="C299" s="13"/>
      <c r="G299" s="25"/>
      <c r="H299" s="29"/>
      <c r="I299" s="31"/>
      <c r="J299" s="27"/>
    </row>
    <row r="300" spans="3:10" customFormat="1" x14ac:dyDescent="0.35">
      <c r="C300" s="13"/>
      <c r="G300" s="25"/>
      <c r="H300" s="29"/>
      <c r="I300" s="31"/>
      <c r="J300" s="27"/>
    </row>
    <row r="301" spans="3:10" customFormat="1" x14ac:dyDescent="0.35">
      <c r="C301" s="13"/>
      <c r="G301" s="25"/>
      <c r="H301" s="29"/>
      <c r="I301" s="31"/>
      <c r="J301" s="27"/>
    </row>
    <row r="302" spans="3:10" customFormat="1" x14ac:dyDescent="0.35">
      <c r="C302" s="13"/>
      <c r="G302" s="25"/>
      <c r="H302" s="29"/>
      <c r="I302" s="31"/>
      <c r="J302" s="27"/>
    </row>
    <row r="303" spans="3:10" customFormat="1" x14ac:dyDescent="0.35">
      <c r="C303" s="13"/>
      <c r="G303" s="25"/>
      <c r="H303" s="29"/>
      <c r="I303" s="31"/>
      <c r="J303" s="27"/>
    </row>
    <row r="304" spans="3:10" customFormat="1" x14ac:dyDescent="0.35">
      <c r="C304" s="13"/>
      <c r="G304" s="25"/>
      <c r="H304" s="29"/>
      <c r="I304" s="31"/>
      <c r="J304" s="27"/>
    </row>
    <row r="305" spans="1:12" x14ac:dyDescent="0.35">
      <c r="A305"/>
      <c r="B305"/>
      <c r="E305"/>
      <c r="F305"/>
      <c r="G305" s="25"/>
      <c r="H305" s="29"/>
      <c r="I305" s="31"/>
      <c r="J305" s="27"/>
      <c r="K305"/>
      <c r="L305"/>
    </row>
    <row r="306" spans="1:12" x14ac:dyDescent="0.35">
      <c r="A306"/>
      <c r="B306"/>
      <c r="E306"/>
      <c r="F306"/>
      <c r="G306" s="25"/>
      <c r="H306" s="29"/>
      <c r="I306" s="31"/>
      <c r="J306" s="27"/>
      <c r="K306"/>
      <c r="L306"/>
    </row>
    <row r="307" spans="1:12" x14ac:dyDescent="0.35">
      <c r="A307"/>
      <c r="B307"/>
      <c r="E307"/>
      <c r="F307"/>
      <c r="G307" s="25"/>
      <c r="H307" s="29"/>
      <c r="I307" s="31"/>
      <c r="J307" s="27"/>
      <c r="K307"/>
      <c r="L307"/>
    </row>
    <row r="308" spans="1:12" x14ac:dyDescent="0.35">
      <c r="A308"/>
      <c r="B308"/>
      <c r="E308"/>
      <c r="F308"/>
      <c r="G308" s="25"/>
      <c r="H308" s="29"/>
      <c r="I308" s="31"/>
      <c r="J308" s="27"/>
      <c r="K308"/>
      <c r="L308"/>
    </row>
    <row r="309" spans="1:12" x14ac:dyDescent="0.35">
      <c r="A309"/>
      <c r="B309"/>
      <c r="E309"/>
      <c r="F309"/>
      <c r="G309" s="25"/>
      <c r="H309" s="29"/>
      <c r="I309" s="31"/>
      <c r="J309" s="27"/>
      <c r="K309"/>
      <c r="L309"/>
    </row>
    <row r="310" spans="1:12" x14ac:dyDescent="0.35">
      <c r="A310"/>
      <c r="B310"/>
      <c r="E310"/>
      <c r="F310"/>
      <c r="G310" s="25"/>
      <c r="H310" s="29"/>
      <c r="I310" s="31"/>
      <c r="J310" s="27"/>
      <c r="K310"/>
      <c r="L310"/>
    </row>
    <row r="311" spans="1:12" x14ac:dyDescent="0.35">
      <c r="A311"/>
      <c r="B311"/>
      <c r="E311"/>
      <c r="F311"/>
      <c r="G311" s="25"/>
      <c r="H311" s="29"/>
      <c r="I311" s="31"/>
      <c r="J311" s="27"/>
      <c r="K311"/>
      <c r="L311"/>
    </row>
    <row r="312" spans="1:12" x14ac:dyDescent="0.35">
      <c r="A312"/>
      <c r="B312"/>
      <c r="E312"/>
      <c r="F312"/>
      <c r="G312" s="25"/>
      <c r="H312" s="29"/>
      <c r="I312" s="31"/>
      <c r="J312" s="27"/>
      <c r="K312"/>
      <c r="L312"/>
    </row>
    <row r="313" spans="1:12" x14ac:dyDescent="0.35">
      <c r="A313"/>
      <c r="B313"/>
      <c r="E313"/>
      <c r="F313"/>
      <c r="G313" s="25"/>
      <c r="H313" s="29"/>
      <c r="I313" s="31"/>
      <c r="J313" s="27"/>
      <c r="K313"/>
      <c r="L313"/>
    </row>
    <row r="314" spans="1:12" x14ac:dyDescent="0.35">
      <c r="A314"/>
      <c r="B314"/>
      <c r="E314"/>
      <c r="F314"/>
      <c r="G314" s="25"/>
      <c r="H314" s="29"/>
      <c r="I314" s="31"/>
      <c r="J314" s="27"/>
      <c r="K314"/>
      <c r="L314"/>
    </row>
    <row r="315" spans="1:12" x14ac:dyDescent="0.35">
      <c r="A315"/>
      <c r="B315"/>
      <c r="E315"/>
      <c r="F315"/>
      <c r="G315" s="25"/>
      <c r="H315" s="29"/>
      <c r="I315" s="31"/>
      <c r="J315" s="27"/>
      <c r="K315"/>
      <c r="L315"/>
    </row>
    <row r="316" spans="1:12" x14ac:dyDescent="0.35">
      <c r="A316" s="18"/>
      <c r="E316"/>
    </row>
    <row r="317" spans="1:12" x14ac:dyDescent="0.35">
      <c r="A317" s="18"/>
      <c r="E317"/>
    </row>
    <row r="318" spans="1:12" x14ac:dyDescent="0.35">
      <c r="A318" s="18"/>
      <c r="E318"/>
    </row>
    <row r="319" spans="1:12" x14ac:dyDescent="0.35">
      <c r="A319" s="18"/>
      <c r="E319"/>
    </row>
    <row r="320" spans="1:12" x14ac:dyDescent="0.35">
      <c r="A320" s="18"/>
      <c r="E320"/>
    </row>
    <row r="321" spans="1:5" x14ac:dyDescent="0.35">
      <c r="A321" s="18"/>
      <c r="E321"/>
    </row>
    <row r="322" spans="1:5" x14ac:dyDescent="0.35">
      <c r="A322" s="18"/>
      <c r="E322"/>
    </row>
    <row r="323" spans="1:5" x14ac:dyDescent="0.35">
      <c r="A323" s="18"/>
      <c r="E323"/>
    </row>
    <row r="324" spans="1:5" x14ac:dyDescent="0.35">
      <c r="A324" s="18"/>
      <c r="E324"/>
    </row>
    <row r="325" spans="1:5" x14ac:dyDescent="0.35">
      <c r="A325" s="18"/>
      <c r="E325"/>
    </row>
    <row r="326" spans="1:5" x14ac:dyDescent="0.35">
      <c r="A326" s="18"/>
      <c r="E326"/>
    </row>
    <row r="327" spans="1:5" x14ac:dyDescent="0.35">
      <c r="A327" s="18"/>
      <c r="E327"/>
    </row>
    <row r="328" spans="1:5" x14ac:dyDescent="0.35">
      <c r="A328" s="18"/>
      <c r="E328"/>
    </row>
    <row r="329" spans="1:5" x14ac:dyDescent="0.35">
      <c r="A329" s="18"/>
      <c r="E329"/>
    </row>
    <row r="330" spans="1:5" x14ac:dyDescent="0.35">
      <c r="A330" s="18"/>
      <c r="E330"/>
    </row>
    <row r="331" spans="1:5" x14ac:dyDescent="0.35">
      <c r="A331" s="18"/>
      <c r="E331"/>
    </row>
    <row r="332" spans="1:5" x14ac:dyDescent="0.35">
      <c r="A332" s="18"/>
      <c r="E332"/>
    </row>
    <row r="333" spans="1:5" x14ac:dyDescent="0.35">
      <c r="A333" s="18"/>
      <c r="E333"/>
    </row>
    <row r="334" spans="1:5" x14ac:dyDescent="0.35">
      <c r="A334" s="18"/>
      <c r="E334"/>
    </row>
    <row r="335" spans="1:5" x14ac:dyDescent="0.35">
      <c r="A335" s="18"/>
      <c r="E335"/>
    </row>
    <row r="336" spans="1:5" x14ac:dyDescent="0.35">
      <c r="A336" s="18"/>
      <c r="E336"/>
    </row>
    <row r="337" spans="1:5" x14ac:dyDescent="0.35">
      <c r="A337" s="18"/>
      <c r="E337"/>
    </row>
    <row r="338" spans="1:5" x14ac:dyDescent="0.35">
      <c r="A338" s="18"/>
      <c r="E338"/>
    </row>
    <row r="339" spans="1:5" x14ac:dyDescent="0.35">
      <c r="A339" s="18"/>
      <c r="E339"/>
    </row>
    <row r="340" spans="1:5" x14ac:dyDescent="0.35">
      <c r="A340" s="18"/>
      <c r="E340"/>
    </row>
    <row r="341" spans="1:5" x14ac:dyDescent="0.35">
      <c r="A341" s="18"/>
      <c r="E341"/>
    </row>
    <row r="342" spans="1:5" x14ac:dyDescent="0.35">
      <c r="A342" s="18"/>
      <c r="E342"/>
    </row>
    <row r="343" spans="1:5" x14ac:dyDescent="0.35">
      <c r="A343" s="18"/>
      <c r="E343"/>
    </row>
    <row r="344" spans="1:5" x14ac:dyDescent="0.35">
      <c r="A344" s="18"/>
      <c r="E344"/>
    </row>
    <row r="345" spans="1:5" x14ac:dyDescent="0.35">
      <c r="A345" s="18"/>
      <c r="E345"/>
    </row>
    <row r="346" spans="1:5" x14ac:dyDescent="0.35">
      <c r="A346" s="18"/>
      <c r="E346"/>
    </row>
    <row r="347" spans="1:5" x14ac:dyDescent="0.35">
      <c r="A347" s="18"/>
      <c r="E347"/>
    </row>
    <row r="348" spans="1:5" x14ac:dyDescent="0.35">
      <c r="A348" s="18"/>
      <c r="E348"/>
    </row>
    <row r="349" spans="1:5" x14ac:dyDescent="0.35">
      <c r="A349" s="18"/>
      <c r="E349"/>
    </row>
    <row r="350" spans="1:5" x14ac:dyDescent="0.35">
      <c r="A350" s="18"/>
      <c r="E350"/>
    </row>
    <row r="351" spans="1:5" x14ac:dyDescent="0.35">
      <c r="A351" s="18"/>
      <c r="E351"/>
    </row>
    <row r="352" spans="1:5" x14ac:dyDescent="0.35">
      <c r="A352" s="18"/>
      <c r="E352"/>
    </row>
    <row r="353" spans="1:5" x14ac:dyDescent="0.35">
      <c r="A353" s="18"/>
      <c r="E353"/>
    </row>
    <row r="354" spans="1:5" x14ac:dyDescent="0.35">
      <c r="A354" s="18"/>
      <c r="E354"/>
    </row>
    <row r="355" spans="1:5" x14ac:dyDescent="0.35">
      <c r="A355" s="18"/>
      <c r="E355"/>
    </row>
    <row r="356" spans="1:5" x14ac:dyDescent="0.35">
      <c r="A356" s="18"/>
      <c r="E356"/>
    </row>
    <row r="357" spans="1:5" x14ac:dyDescent="0.35">
      <c r="A357" s="18"/>
      <c r="E357"/>
    </row>
    <row r="358" spans="1:5" x14ac:dyDescent="0.35">
      <c r="A358" s="18"/>
      <c r="E358"/>
    </row>
    <row r="359" spans="1:5" x14ac:dyDescent="0.35">
      <c r="A359" s="18"/>
      <c r="E359"/>
    </row>
    <row r="360" spans="1:5" x14ac:dyDescent="0.35">
      <c r="A360" s="18"/>
      <c r="E360"/>
    </row>
    <row r="361" spans="1:5" x14ac:dyDescent="0.35">
      <c r="A361" s="18"/>
      <c r="E361"/>
    </row>
    <row r="362" spans="1:5" x14ac:dyDescent="0.35">
      <c r="A362" s="18"/>
      <c r="E362"/>
    </row>
    <row r="363" spans="1:5" x14ac:dyDescent="0.35">
      <c r="A363" s="18"/>
      <c r="E363"/>
    </row>
    <row r="364" spans="1:5" x14ac:dyDescent="0.35">
      <c r="A364" s="18"/>
      <c r="E364"/>
    </row>
    <row r="365" spans="1:5" x14ac:dyDescent="0.35">
      <c r="A365" s="18"/>
      <c r="E365"/>
    </row>
    <row r="366" spans="1:5" x14ac:dyDescent="0.35">
      <c r="A366" s="18"/>
      <c r="E366"/>
    </row>
    <row r="367" spans="1:5" x14ac:dyDescent="0.35">
      <c r="A367" s="18"/>
      <c r="E367"/>
    </row>
    <row r="368" spans="1:5" x14ac:dyDescent="0.35">
      <c r="A368" s="18"/>
      <c r="E368"/>
    </row>
    <row r="369" spans="1:5" x14ac:dyDescent="0.35">
      <c r="A369" s="18"/>
      <c r="E369"/>
    </row>
    <row r="370" spans="1:5" x14ac:dyDescent="0.35">
      <c r="A370" s="18"/>
      <c r="E370"/>
    </row>
    <row r="371" spans="1:5" x14ac:dyDescent="0.35">
      <c r="A371" s="18"/>
      <c r="E371"/>
    </row>
    <row r="372" spans="1:5" x14ac:dyDescent="0.35">
      <c r="A372" s="18"/>
      <c r="E372"/>
    </row>
    <row r="373" spans="1:5" x14ac:dyDescent="0.35">
      <c r="A373" s="18"/>
      <c r="E373"/>
    </row>
    <row r="374" spans="1:5" x14ac:dyDescent="0.35">
      <c r="A374" s="18"/>
      <c r="E374"/>
    </row>
    <row r="375" spans="1:5" x14ac:dyDescent="0.35">
      <c r="A375" s="18"/>
      <c r="E375"/>
    </row>
    <row r="376" spans="1:5" x14ac:dyDescent="0.35">
      <c r="A376" s="18"/>
      <c r="E376"/>
    </row>
    <row r="377" spans="1:5" x14ac:dyDescent="0.35">
      <c r="A377" s="18"/>
      <c r="E377"/>
    </row>
    <row r="378" spans="1:5" x14ac:dyDescent="0.35">
      <c r="A378" s="18"/>
      <c r="E378"/>
    </row>
    <row r="379" spans="1:5" x14ac:dyDescent="0.35">
      <c r="A379" s="18"/>
      <c r="E379"/>
    </row>
    <row r="380" spans="1:5" x14ac:dyDescent="0.35">
      <c r="A380" s="18"/>
      <c r="E380"/>
    </row>
    <row r="381" spans="1:5" x14ac:dyDescent="0.35">
      <c r="A381" s="18"/>
      <c r="E381"/>
    </row>
    <row r="382" spans="1:5" x14ac:dyDescent="0.35">
      <c r="A382" s="18"/>
      <c r="E382"/>
    </row>
    <row r="383" spans="1:5" x14ac:dyDescent="0.35">
      <c r="A383" s="18"/>
      <c r="E383"/>
    </row>
    <row r="384" spans="1:5" x14ac:dyDescent="0.35">
      <c r="A384" s="18"/>
      <c r="E384"/>
    </row>
    <row r="385" spans="1:5" x14ac:dyDescent="0.35">
      <c r="A385" s="18"/>
      <c r="E385"/>
    </row>
    <row r="386" spans="1:5" x14ac:dyDescent="0.35">
      <c r="A386" s="18"/>
      <c r="E386"/>
    </row>
    <row r="387" spans="1:5" x14ac:dyDescent="0.35">
      <c r="A387" s="18"/>
      <c r="E387"/>
    </row>
    <row r="388" spans="1:5" x14ac:dyDescent="0.35">
      <c r="A388" s="18"/>
      <c r="E388"/>
    </row>
    <row r="389" spans="1:5" x14ac:dyDescent="0.35">
      <c r="A389" s="18"/>
      <c r="E389"/>
    </row>
    <row r="390" spans="1:5" x14ac:dyDescent="0.35">
      <c r="A390" s="18"/>
      <c r="E390"/>
    </row>
    <row r="391" spans="1:5" x14ac:dyDescent="0.35">
      <c r="A391" s="18"/>
      <c r="E391"/>
    </row>
    <row r="392" spans="1:5" x14ac:dyDescent="0.35">
      <c r="A392" s="18"/>
      <c r="E392"/>
    </row>
    <row r="393" spans="1:5" x14ac:dyDescent="0.35">
      <c r="A393" s="18"/>
      <c r="E393"/>
    </row>
    <row r="394" spans="1:5" x14ac:dyDescent="0.35">
      <c r="A394" s="18"/>
      <c r="E394"/>
    </row>
    <row r="395" spans="1:5" x14ac:dyDescent="0.35">
      <c r="A395" s="18"/>
      <c r="E395"/>
    </row>
    <row r="396" spans="1:5" x14ac:dyDescent="0.35">
      <c r="A396" s="18"/>
      <c r="E396"/>
    </row>
    <row r="397" spans="1:5" x14ac:dyDescent="0.35">
      <c r="A397" s="18"/>
      <c r="E397"/>
    </row>
    <row r="398" spans="1:5" x14ac:dyDescent="0.35">
      <c r="A398" s="18"/>
      <c r="E398"/>
    </row>
    <row r="399" spans="1:5" x14ac:dyDescent="0.35">
      <c r="A399" s="18"/>
      <c r="E399"/>
    </row>
    <row r="400" spans="1:5" x14ac:dyDescent="0.35">
      <c r="A400" s="18"/>
      <c r="E400"/>
    </row>
    <row r="401" spans="1:5" x14ac:dyDescent="0.35">
      <c r="A401" s="18"/>
      <c r="E401"/>
    </row>
    <row r="402" spans="1:5" x14ac:dyDescent="0.35">
      <c r="A402" s="18"/>
      <c r="E402"/>
    </row>
    <row r="403" spans="1:5" x14ac:dyDescent="0.35">
      <c r="A403" s="18"/>
      <c r="E403"/>
    </row>
    <row r="404" spans="1:5" x14ac:dyDescent="0.35">
      <c r="A404" s="18"/>
      <c r="E404"/>
    </row>
    <row r="405" spans="1:5" x14ac:dyDescent="0.35">
      <c r="A405" s="18"/>
      <c r="E405"/>
    </row>
    <row r="406" spans="1:5" x14ac:dyDescent="0.35">
      <c r="A406" s="18"/>
      <c r="E406"/>
    </row>
    <row r="407" spans="1:5" x14ac:dyDescent="0.35">
      <c r="A407" s="18"/>
      <c r="E407"/>
    </row>
    <row r="408" spans="1:5" x14ac:dyDescent="0.35">
      <c r="A408" s="18"/>
      <c r="E408"/>
    </row>
    <row r="409" spans="1:5" x14ac:dyDescent="0.35">
      <c r="A409" s="18"/>
      <c r="E409"/>
    </row>
    <row r="410" spans="1:5" x14ac:dyDescent="0.35">
      <c r="A410" s="18"/>
      <c r="E410"/>
    </row>
    <row r="411" spans="1:5" x14ac:dyDescent="0.35">
      <c r="A411" s="18"/>
      <c r="E411"/>
    </row>
    <row r="412" spans="1:5" x14ac:dyDescent="0.35">
      <c r="A412" s="18"/>
      <c r="E412"/>
    </row>
    <row r="413" spans="1:5" x14ac:dyDescent="0.35">
      <c r="A413" s="18"/>
      <c r="E413"/>
    </row>
    <row r="414" spans="1:5" x14ac:dyDescent="0.35">
      <c r="A414" s="18"/>
      <c r="E414"/>
    </row>
    <row r="415" spans="1:5" x14ac:dyDescent="0.35">
      <c r="A415" s="18"/>
      <c r="E415"/>
    </row>
    <row r="416" spans="1:5" x14ac:dyDescent="0.35">
      <c r="A416" s="18"/>
      <c r="E416"/>
    </row>
    <row r="417" spans="1:5" x14ac:dyDescent="0.35">
      <c r="A417" s="18"/>
      <c r="E417"/>
    </row>
    <row r="418" spans="1:5" x14ac:dyDescent="0.35">
      <c r="A418" s="18"/>
      <c r="E418"/>
    </row>
    <row r="419" spans="1:5" x14ac:dyDescent="0.35">
      <c r="A419" s="18"/>
      <c r="E419"/>
    </row>
    <row r="420" spans="1:5" x14ac:dyDescent="0.35">
      <c r="A420" s="18"/>
      <c r="E420"/>
    </row>
    <row r="421" spans="1:5" x14ac:dyDescent="0.35">
      <c r="A421" s="18"/>
      <c r="E421"/>
    </row>
    <row r="422" spans="1:5" x14ac:dyDescent="0.35">
      <c r="A422" s="18"/>
      <c r="E422"/>
    </row>
    <row r="423" spans="1:5" x14ac:dyDescent="0.35">
      <c r="A423" s="18"/>
      <c r="E423"/>
    </row>
    <row r="424" spans="1:5" x14ac:dyDescent="0.35">
      <c r="A424" s="18"/>
      <c r="E424"/>
    </row>
    <row r="425" spans="1:5" x14ac:dyDescent="0.35">
      <c r="A425" s="18"/>
      <c r="E425"/>
    </row>
    <row r="426" spans="1:5" x14ac:dyDescent="0.35">
      <c r="A426" s="18"/>
      <c r="E426"/>
    </row>
    <row r="427" spans="1:5" x14ac:dyDescent="0.35">
      <c r="A427" s="18"/>
      <c r="E427"/>
    </row>
    <row r="428" spans="1:5" x14ac:dyDescent="0.35">
      <c r="A428" s="18"/>
      <c r="E428"/>
    </row>
    <row r="429" spans="1:5" x14ac:dyDescent="0.35">
      <c r="A429" s="18"/>
      <c r="E429"/>
    </row>
    <row r="430" spans="1:5" x14ac:dyDescent="0.35">
      <c r="A430" s="18"/>
      <c r="E430"/>
    </row>
    <row r="431" spans="1:5" x14ac:dyDescent="0.35">
      <c r="A431" s="18"/>
      <c r="E431"/>
    </row>
    <row r="432" spans="1:5" x14ac:dyDescent="0.35">
      <c r="A432" s="18"/>
      <c r="E432"/>
    </row>
    <row r="433" spans="1:5" x14ac:dyDescent="0.35">
      <c r="A433" s="18"/>
      <c r="E433"/>
    </row>
    <row r="434" spans="1:5" x14ac:dyDescent="0.35">
      <c r="A434" s="18"/>
      <c r="E434"/>
    </row>
    <row r="435" spans="1:5" x14ac:dyDescent="0.35">
      <c r="A435" s="18"/>
      <c r="E435"/>
    </row>
    <row r="436" spans="1:5" x14ac:dyDescent="0.35">
      <c r="A436" s="18"/>
    </row>
    <row r="437" spans="1:5" x14ac:dyDescent="0.35">
      <c r="A437" s="18"/>
    </row>
    <row r="438" spans="1:5" x14ac:dyDescent="0.35">
      <c r="A438" s="18"/>
    </row>
    <row r="439" spans="1:5" x14ac:dyDescent="0.35">
      <c r="A439" s="18"/>
    </row>
    <row r="440" spans="1:5" x14ac:dyDescent="0.35">
      <c r="A440" s="18"/>
    </row>
    <row r="441" spans="1:5" x14ac:dyDescent="0.35">
      <c r="A441" s="18"/>
    </row>
    <row r="442" spans="1:5" x14ac:dyDescent="0.35">
      <c r="A442" s="18"/>
    </row>
    <row r="443" spans="1:5" x14ac:dyDescent="0.35">
      <c r="A443" s="18"/>
    </row>
    <row r="444" spans="1:5" x14ac:dyDescent="0.35">
      <c r="A444" s="18"/>
    </row>
    <row r="445" spans="1:5" x14ac:dyDescent="0.35">
      <c r="A445" s="18"/>
    </row>
    <row r="446" spans="1:5" x14ac:dyDescent="0.35">
      <c r="A446" s="18"/>
    </row>
    <row r="447" spans="1:5" x14ac:dyDescent="0.35">
      <c r="A447" s="18"/>
    </row>
    <row r="448" spans="1:5" x14ac:dyDescent="0.35">
      <c r="A448" s="18"/>
    </row>
    <row r="449" spans="1:1" x14ac:dyDescent="0.35">
      <c r="A449" s="18"/>
    </row>
    <row r="450" spans="1:1" x14ac:dyDescent="0.35">
      <c r="A450" s="18"/>
    </row>
    <row r="451" spans="1:1" x14ac:dyDescent="0.35">
      <c r="A451" s="18"/>
    </row>
    <row r="452" spans="1:1" x14ac:dyDescent="0.35">
      <c r="A452" s="18"/>
    </row>
    <row r="453" spans="1:1" x14ac:dyDescent="0.35">
      <c r="A453" s="18"/>
    </row>
    <row r="454" spans="1:1" x14ac:dyDescent="0.35">
      <c r="A454" s="18"/>
    </row>
    <row r="455" spans="1:1" x14ac:dyDescent="0.35">
      <c r="A455" s="18"/>
    </row>
    <row r="456" spans="1:1" x14ac:dyDescent="0.35">
      <c r="A456" s="18"/>
    </row>
    <row r="457" spans="1:1" x14ac:dyDescent="0.35">
      <c r="A457" s="18"/>
    </row>
    <row r="458" spans="1:1" x14ac:dyDescent="0.35">
      <c r="A458" s="18"/>
    </row>
    <row r="459" spans="1:1" x14ac:dyDescent="0.35">
      <c r="A459" s="18"/>
    </row>
    <row r="460" spans="1:1" x14ac:dyDescent="0.35">
      <c r="A460" s="18"/>
    </row>
    <row r="461" spans="1:1" x14ac:dyDescent="0.35">
      <c r="A461" s="18"/>
    </row>
    <row r="462" spans="1:1" x14ac:dyDescent="0.35">
      <c r="A462" s="18"/>
    </row>
    <row r="463" spans="1:1" x14ac:dyDescent="0.35">
      <c r="A463" s="18"/>
    </row>
    <row r="464" spans="1:1" x14ac:dyDescent="0.35">
      <c r="A464" s="18"/>
    </row>
    <row r="465" spans="1:1" x14ac:dyDescent="0.35">
      <c r="A465" s="18"/>
    </row>
    <row r="466" spans="1:1" x14ac:dyDescent="0.35">
      <c r="A466" s="18"/>
    </row>
    <row r="467" spans="1:1" x14ac:dyDescent="0.35">
      <c r="A467" s="18"/>
    </row>
    <row r="468" spans="1:1" x14ac:dyDescent="0.35">
      <c r="A468" s="18"/>
    </row>
    <row r="469" spans="1:1" x14ac:dyDescent="0.35">
      <c r="A469" s="18"/>
    </row>
    <row r="470" spans="1:1" x14ac:dyDescent="0.35">
      <c r="A470" s="18"/>
    </row>
    <row r="471" spans="1:1" x14ac:dyDescent="0.35">
      <c r="A471" s="18"/>
    </row>
    <row r="472" spans="1:1" x14ac:dyDescent="0.35">
      <c r="A472" s="18"/>
    </row>
    <row r="473" spans="1:1" x14ac:dyDescent="0.35">
      <c r="A473" s="18"/>
    </row>
    <row r="474" spans="1:1" x14ac:dyDescent="0.35">
      <c r="A474" s="18"/>
    </row>
    <row r="475" spans="1:1" x14ac:dyDescent="0.35">
      <c r="A475" s="18"/>
    </row>
    <row r="476" spans="1:1" x14ac:dyDescent="0.35">
      <c r="A476" s="18"/>
    </row>
    <row r="477" spans="1:1" x14ac:dyDescent="0.35">
      <c r="A477" s="18"/>
    </row>
    <row r="478" spans="1:1" x14ac:dyDescent="0.35">
      <c r="A478" s="18"/>
    </row>
    <row r="479" spans="1:1" x14ac:dyDescent="0.35">
      <c r="A479" s="18"/>
    </row>
    <row r="480" spans="1:1" x14ac:dyDescent="0.35">
      <c r="A480" s="18"/>
    </row>
    <row r="481" spans="1:1" x14ac:dyDescent="0.35">
      <c r="A481" s="18"/>
    </row>
    <row r="482" spans="1:1" x14ac:dyDescent="0.35">
      <c r="A482" s="18"/>
    </row>
    <row r="483" spans="1:1" x14ac:dyDescent="0.35">
      <c r="A483" s="18"/>
    </row>
    <row r="484" spans="1:1" x14ac:dyDescent="0.35">
      <c r="A484" s="18"/>
    </row>
    <row r="485" spans="1:1" x14ac:dyDescent="0.35">
      <c r="A485" s="18"/>
    </row>
    <row r="486" spans="1:1" x14ac:dyDescent="0.35">
      <c r="A486" s="18"/>
    </row>
    <row r="487" spans="1:1" x14ac:dyDescent="0.35">
      <c r="A487" s="18"/>
    </row>
    <row r="488" spans="1:1" x14ac:dyDescent="0.35">
      <c r="A488" s="18"/>
    </row>
    <row r="489" spans="1:1" x14ac:dyDescent="0.35">
      <c r="A489" s="18"/>
    </row>
    <row r="490" spans="1:1" x14ac:dyDescent="0.35">
      <c r="A490" s="18"/>
    </row>
    <row r="491" spans="1:1" x14ac:dyDescent="0.35">
      <c r="A491" s="18"/>
    </row>
    <row r="492" spans="1:1" x14ac:dyDescent="0.35">
      <c r="A492" s="18"/>
    </row>
    <row r="493" spans="1:1" x14ac:dyDescent="0.35">
      <c r="A493" s="18"/>
    </row>
    <row r="494" spans="1:1" x14ac:dyDescent="0.35">
      <c r="A494" s="18"/>
    </row>
    <row r="495" spans="1:1" x14ac:dyDescent="0.35">
      <c r="A495" s="18"/>
    </row>
    <row r="496" spans="1:1" x14ac:dyDescent="0.35">
      <c r="A496" s="18"/>
    </row>
    <row r="497" spans="1:1" x14ac:dyDescent="0.35">
      <c r="A497" s="18"/>
    </row>
    <row r="498" spans="1:1" x14ac:dyDescent="0.35">
      <c r="A498" s="18"/>
    </row>
    <row r="499" spans="1:1" x14ac:dyDescent="0.35">
      <c r="A499" s="18"/>
    </row>
    <row r="500" spans="1:1" x14ac:dyDescent="0.35">
      <c r="A500" s="18"/>
    </row>
    <row r="501" spans="1:1" x14ac:dyDescent="0.35">
      <c r="A501" s="18"/>
    </row>
    <row r="502" spans="1:1" x14ac:dyDescent="0.35">
      <c r="A502" s="18"/>
    </row>
    <row r="503" spans="1:1" x14ac:dyDescent="0.35">
      <c r="A503" s="18"/>
    </row>
    <row r="504" spans="1:1" x14ac:dyDescent="0.35">
      <c r="A504" s="18"/>
    </row>
    <row r="505" spans="1:1" x14ac:dyDescent="0.35">
      <c r="A505" s="18"/>
    </row>
    <row r="506" spans="1:1" x14ac:dyDescent="0.35">
      <c r="A506" s="18"/>
    </row>
    <row r="507" spans="1:1" x14ac:dyDescent="0.35">
      <c r="A507" s="18"/>
    </row>
    <row r="508" spans="1:1" x14ac:dyDescent="0.35">
      <c r="A508" s="18"/>
    </row>
    <row r="509" spans="1:1" x14ac:dyDescent="0.35">
      <c r="A509" s="18"/>
    </row>
    <row r="510" spans="1:1" x14ac:dyDescent="0.35">
      <c r="A510" s="18"/>
    </row>
    <row r="511" spans="1:1" x14ac:dyDescent="0.35">
      <c r="A511" s="18"/>
    </row>
    <row r="512" spans="1:1" x14ac:dyDescent="0.35">
      <c r="A512" s="18"/>
    </row>
    <row r="513" spans="1:1" x14ac:dyDescent="0.35">
      <c r="A513" s="18"/>
    </row>
    <row r="514" spans="1:1" x14ac:dyDescent="0.35">
      <c r="A514" s="18"/>
    </row>
    <row r="515" spans="1:1" x14ac:dyDescent="0.35">
      <c r="A515" s="18"/>
    </row>
    <row r="516" spans="1:1" x14ac:dyDescent="0.35">
      <c r="A516" s="18"/>
    </row>
    <row r="517" spans="1:1" x14ac:dyDescent="0.35">
      <c r="A517" s="18"/>
    </row>
    <row r="518" spans="1:1" x14ac:dyDescent="0.35">
      <c r="A518" s="18"/>
    </row>
    <row r="519" spans="1:1" x14ac:dyDescent="0.35">
      <c r="A519" s="18"/>
    </row>
    <row r="520" spans="1:1" x14ac:dyDescent="0.35">
      <c r="A520" s="18"/>
    </row>
    <row r="521" spans="1:1" x14ac:dyDescent="0.35">
      <c r="A521" s="18"/>
    </row>
    <row r="522" spans="1:1" x14ac:dyDescent="0.35">
      <c r="A522" s="18"/>
    </row>
    <row r="523" spans="1:1" x14ac:dyDescent="0.35">
      <c r="A523" s="18"/>
    </row>
    <row r="524" spans="1:1" x14ac:dyDescent="0.35">
      <c r="A524" s="18"/>
    </row>
    <row r="525" spans="1:1" x14ac:dyDescent="0.35">
      <c r="A525" s="18"/>
    </row>
    <row r="526" spans="1:1" x14ac:dyDescent="0.35">
      <c r="A526" s="18"/>
    </row>
    <row r="527" spans="1:1" x14ac:dyDescent="0.35">
      <c r="A527" s="18"/>
    </row>
    <row r="528" spans="1:1" x14ac:dyDescent="0.35">
      <c r="A528" s="18"/>
    </row>
    <row r="529" spans="1:1" x14ac:dyDescent="0.35">
      <c r="A529" s="18"/>
    </row>
    <row r="530" spans="1:1" x14ac:dyDescent="0.35">
      <c r="A530" s="18"/>
    </row>
    <row r="531" spans="1:1" x14ac:dyDescent="0.35">
      <c r="A531" s="18"/>
    </row>
    <row r="532" spans="1:1" x14ac:dyDescent="0.35">
      <c r="A532" s="18"/>
    </row>
    <row r="533" spans="1:1" x14ac:dyDescent="0.35">
      <c r="A533" s="18"/>
    </row>
    <row r="534" spans="1:1" x14ac:dyDescent="0.35">
      <c r="A534" s="18"/>
    </row>
    <row r="535" spans="1:1" x14ac:dyDescent="0.35">
      <c r="A535" s="18"/>
    </row>
    <row r="536" spans="1:1" x14ac:dyDescent="0.35">
      <c r="A536" s="18"/>
    </row>
    <row r="537" spans="1:1" x14ac:dyDescent="0.35">
      <c r="A537" s="18"/>
    </row>
    <row r="538" spans="1:1" x14ac:dyDescent="0.35">
      <c r="A538" s="18"/>
    </row>
    <row r="539" spans="1:1" x14ac:dyDescent="0.35">
      <c r="A539" s="18"/>
    </row>
    <row r="540" spans="1:1" x14ac:dyDescent="0.35">
      <c r="A540" s="18"/>
    </row>
    <row r="541" spans="1:1" x14ac:dyDescent="0.35">
      <c r="A541" s="18"/>
    </row>
    <row r="542" spans="1:1" x14ac:dyDescent="0.35">
      <c r="A542" s="18"/>
    </row>
    <row r="543" spans="1:1" x14ac:dyDescent="0.35">
      <c r="A543" s="18"/>
    </row>
    <row r="544" spans="1:1" x14ac:dyDescent="0.35">
      <c r="A544" s="18"/>
    </row>
    <row r="545" spans="1:1" x14ac:dyDescent="0.35">
      <c r="A545" s="18"/>
    </row>
    <row r="546" spans="1:1" x14ac:dyDescent="0.35">
      <c r="A546" s="18"/>
    </row>
    <row r="547" spans="1:1" x14ac:dyDescent="0.35">
      <c r="A547" s="18"/>
    </row>
    <row r="548" spans="1:1" x14ac:dyDescent="0.35">
      <c r="A548" s="18"/>
    </row>
    <row r="549" spans="1:1" x14ac:dyDescent="0.35">
      <c r="A549" s="18"/>
    </row>
    <row r="550" spans="1:1" x14ac:dyDescent="0.35">
      <c r="A550" s="18"/>
    </row>
    <row r="551" spans="1:1" x14ac:dyDescent="0.35">
      <c r="A551" s="18"/>
    </row>
    <row r="552" spans="1:1" x14ac:dyDescent="0.35">
      <c r="A552" s="18"/>
    </row>
    <row r="553" spans="1:1" x14ac:dyDescent="0.35">
      <c r="A553" s="18"/>
    </row>
    <row r="554" spans="1:1" x14ac:dyDescent="0.35">
      <c r="A554" s="18"/>
    </row>
    <row r="555" spans="1:1" x14ac:dyDescent="0.35">
      <c r="A555" s="18"/>
    </row>
    <row r="556" spans="1:1" x14ac:dyDescent="0.35">
      <c r="A556" s="18"/>
    </row>
    <row r="557" spans="1:1" x14ac:dyDescent="0.35">
      <c r="A557" s="18"/>
    </row>
    <row r="558" spans="1:1" x14ac:dyDescent="0.35">
      <c r="A558" s="18"/>
    </row>
    <row r="559" spans="1:1" x14ac:dyDescent="0.35">
      <c r="A559" s="18"/>
    </row>
    <row r="560" spans="1:1" x14ac:dyDescent="0.35">
      <c r="A560" s="18"/>
    </row>
    <row r="561" spans="1:1" x14ac:dyDescent="0.35">
      <c r="A561" s="18"/>
    </row>
    <row r="562" spans="1:1" x14ac:dyDescent="0.35">
      <c r="A562" s="18"/>
    </row>
    <row r="563" spans="1:1" x14ac:dyDescent="0.35">
      <c r="A563" s="18"/>
    </row>
    <row r="564" spans="1:1" x14ac:dyDescent="0.35">
      <c r="A564" s="18"/>
    </row>
    <row r="565" spans="1:1" x14ac:dyDescent="0.35">
      <c r="A565" s="18"/>
    </row>
    <row r="566" spans="1:1" x14ac:dyDescent="0.35">
      <c r="A566" s="18"/>
    </row>
    <row r="567" spans="1:1" x14ac:dyDescent="0.35">
      <c r="A567" s="18"/>
    </row>
    <row r="568" spans="1:1" x14ac:dyDescent="0.35">
      <c r="A568" s="18"/>
    </row>
    <row r="569" spans="1:1" x14ac:dyDescent="0.35">
      <c r="A569" s="18"/>
    </row>
    <row r="570" spans="1:1" x14ac:dyDescent="0.35">
      <c r="A570" s="18"/>
    </row>
    <row r="571" spans="1:1" x14ac:dyDescent="0.35">
      <c r="A571" s="18"/>
    </row>
    <row r="572" spans="1:1" x14ac:dyDescent="0.35">
      <c r="A572" s="18"/>
    </row>
    <row r="573" spans="1:1" x14ac:dyDescent="0.35">
      <c r="A573" s="18"/>
    </row>
    <row r="574" spans="1:1" x14ac:dyDescent="0.35">
      <c r="A574" s="18"/>
    </row>
    <row r="575" spans="1:1" x14ac:dyDescent="0.35">
      <c r="A575" s="18"/>
    </row>
    <row r="576" spans="1:1" x14ac:dyDescent="0.35">
      <c r="A576" s="18"/>
    </row>
    <row r="577" spans="1:1" x14ac:dyDescent="0.35">
      <c r="A577" s="18"/>
    </row>
    <row r="578" spans="1:1" x14ac:dyDescent="0.35">
      <c r="A578" s="18"/>
    </row>
    <row r="579" spans="1:1" x14ac:dyDescent="0.35">
      <c r="A579" s="18"/>
    </row>
    <row r="580" spans="1:1" x14ac:dyDescent="0.35">
      <c r="A580" s="18"/>
    </row>
    <row r="581" spans="1:1" x14ac:dyDescent="0.35">
      <c r="A581" s="18"/>
    </row>
    <row r="582" spans="1:1" x14ac:dyDescent="0.35">
      <c r="A582" s="18"/>
    </row>
    <row r="583" spans="1:1" x14ac:dyDescent="0.35">
      <c r="A583" s="18"/>
    </row>
    <row r="584" spans="1:1" x14ac:dyDescent="0.35">
      <c r="A584" s="18"/>
    </row>
    <row r="585" spans="1:1" x14ac:dyDescent="0.35">
      <c r="A585" s="18"/>
    </row>
    <row r="586" spans="1:1" x14ac:dyDescent="0.35">
      <c r="A586" s="18"/>
    </row>
    <row r="587" spans="1:1" x14ac:dyDescent="0.35">
      <c r="A587" s="18"/>
    </row>
    <row r="588" spans="1:1" x14ac:dyDescent="0.35">
      <c r="A588" s="18"/>
    </row>
    <row r="589" spans="1:1" x14ac:dyDescent="0.35">
      <c r="A589" s="18"/>
    </row>
    <row r="590" spans="1:1" x14ac:dyDescent="0.35">
      <c r="A590" s="18"/>
    </row>
    <row r="591" spans="1:1" x14ac:dyDescent="0.35">
      <c r="A591" s="18"/>
    </row>
    <row r="592" spans="1:1" x14ac:dyDescent="0.35">
      <c r="A592" s="18"/>
    </row>
    <row r="593" spans="1:1" x14ac:dyDescent="0.35">
      <c r="A593" s="18"/>
    </row>
    <row r="594" spans="1:1" x14ac:dyDescent="0.35">
      <c r="A594" s="18"/>
    </row>
    <row r="595" spans="1:1" x14ac:dyDescent="0.35">
      <c r="A595" s="18"/>
    </row>
    <row r="596" spans="1:1" x14ac:dyDescent="0.35">
      <c r="A596" s="18"/>
    </row>
    <row r="597" spans="1:1" x14ac:dyDescent="0.35">
      <c r="A597" s="18"/>
    </row>
    <row r="598" spans="1:1" x14ac:dyDescent="0.35">
      <c r="A598" s="18"/>
    </row>
    <row r="599" spans="1:1" x14ac:dyDescent="0.35">
      <c r="A599" s="18"/>
    </row>
    <row r="600" spans="1:1" x14ac:dyDescent="0.35">
      <c r="A600" s="18"/>
    </row>
    <row r="601" spans="1:1" x14ac:dyDescent="0.35">
      <c r="A601" s="18"/>
    </row>
    <row r="602" spans="1:1" x14ac:dyDescent="0.35">
      <c r="A602" s="18"/>
    </row>
    <row r="603" spans="1:1" x14ac:dyDescent="0.35">
      <c r="A603" s="18"/>
    </row>
    <row r="604" spans="1:1" x14ac:dyDescent="0.35">
      <c r="A604" s="18"/>
    </row>
    <row r="605" spans="1:1" x14ac:dyDescent="0.35">
      <c r="A605" s="18"/>
    </row>
    <row r="606" spans="1:1" x14ac:dyDescent="0.35">
      <c r="A606" s="18"/>
    </row>
    <row r="607" spans="1:1" x14ac:dyDescent="0.35">
      <c r="A607" s="18"/>
    </row>
    <row r="608" spans="1:1" x14ac:dyDescent="0.35">
      <c r="A608" s="18"/>
    </row>
    <row r="609" spans="1:1" x14ac:dyDescent="0.35">
      <c r="A609" s="18"/>
    </row>
    <row r="610" spans="1:1" x14ac:dyDescent="0.35">
      <c r="A610" s="18"/>
    </row>
    <row r="611" spans="1:1" x14ac:dyDescent="0.35">
      <c r="A611" s="18"/>
    </row>
    <row r="612" spans="1:1" x14ac:dyDescent="0.35">
      <c r="A612" s="18"/>
    </row>
    <row r="613" spans="1:1" x14ac:dyDescent="0.35">
      <c r="A613" s="18"/>
    </row>
    <row r="614" spans="1:1" x14ac:dyDescent="0.35">
      <c r="A614" s="18"/>
    </row>
    <row r="615" spans="1:1" x14ac:dyDescent="0.35">
      <c r="A615" s="18"/>
    </row>
    <row r="616" spans="1:1" x14ac:dyDescent="0.35">
      <c r="A616" s="18"/>
    </row>
    <row r="617" spans="1:1" x14ac:dyDescent="0.35">
      <c r="A617" s="18"/>
    </row>
    <row r="618" spans="1:1" x14ac:dyDescent="0.35">
      <c r="A618" s="18"/>
    </row>
    <row r="619" spans="1:1" x14ac:dyDescent="0.35">
      <c r="A619" s="18"/>
    </row>
    <row r="620" spans="1:1" x14ac:dyDescent="0.35">
      <c r="A620" s="18"/>
    </row>
    <row r="621" spans="1:1" x14ac:dyDescent="0.35">
      <c r="A621" s="18"/>
    </row>
    <row r="622" spans="1:1" x14ac:dyDescent="0.35">
      <c r="A622" s="18"/>
    </row>
    <row r="623" spans="1:1" x14ac:dyDescent="0.35">
      <c r="A623" s="18"/>
    </row>
    <row r="624" spans="1:1" x14ac:dyDescent="0.35">
      <c r="A624" s="18"/>
    </row>
    <row r="625" spans="1:1" x14ac:dyDescent="0.35">
      <c r="A625" s="18"/>
    </row>
    <row r="626" spans="1:1" x14ac:dyDescent="0.35">
      <c r="A626" s="18"/>
    </row>
    <row r="627" spans="1:1" x14ac:dyDescent="0.35">
      <c r="A627" s="18"/>
    </row>
    <row r="628" spans="1:1" x14ac:dyDescent="0.35">
      <c r="A628" s="18"/>
    </row>
    <row r="629" spans="1:1" x14ac:dyDescent="0.35">
      <c r="A629" s="18"/>
    </row>
    <row r="630" spans="1:1" x14ac:dyDescent="0.35">
      <c r="A630" s="18"/>
    </row>
    <row r="631" spans="1:1" x14ac:dyDescent="0.35">
      <c r="A631" s="18"/>
    </row>
    <row r="632" spans="1:1" x14ac:dyDescent="0.35">
      <c r="A632" s="18"/>
    </row>
    <row r="633" spans="1:1" x14ac:dyDescent="0.35">
      <c r="A633" s="18"/>
    </row>
    <row r="634" spans="1:1" x14ac:dyDescent="0.35">
      <c r="A634" s="18"/>
    </row>
    <row r="635" spans="1:1" x14ac:dyDescent="0.35">
      <c r="A635" s="18"/>
    </row>
    <row r="636" spans="1:1" x14ac:dyDescent="0.35">
      <c r="A636" s="18"/>
    </row>
    <row r="637" spans="1:1" x14ac:dyDescent="0.35">
      <c r="A637" s="18"/>
    </row>
    <row r="638" spans="1:1" x14ac:dyDescent="0.35">
      <c r="A638" s="18"/>
    </row>
    <row r="639" spans="1:1" x14ac:dyDescent="0.35">
      <c r="A639" s="18"/>
    </row>
    <row r="640" spans="1:1" x14ac:dyDescent="0.35">
      <c r="A640" s="18"/>
    </row>
    <row r="641" spans="1:1" x14ac:dyDescent="0.35">
      <c r="A641" s="18"/>
    </row>
    <row r="642" spans="1:1" x14ac:dyDescent="0.35">
      <c r="A642" s="18"/>
    </row>
    <row r="643" spans="1:1" x14ac:dyDescent="0.35">
      <c r="A643" s="18"/>
    </row>
    <row r="644" spans="1:1" x14ac:dyDescent="0.35">
      <c r="A644" s="18"/>
    </row>
    <row r="645" spans="1:1" x14ac:dyDescent="0.35">
      <c r="A645" s="18"/>
    </row>
    <row r="646" spans="1:1" x14ac:dyDescent="0.35">
      <c r="A646" s="18"/>
    </row>
    <row r="647" spans="1:1" x14ac:dyDescent="0.35">
      <c r="A647" s="18"/>
    </row>
    <row r="648" spans="1:1" x14ac:dyDescent="0.35">
      <c r="A648" s="18"/>
    </row>
    <row r="649" spans="1:1" x14ac:dyDescent="0.35">
      <c r="A649" s="18"/>
    </row>
    <row r="650" spans="1:1" x14ac:dyDescent="0.35">
      <c r="A650" s="18"/>
    </row>
    <row r="651" spans="1:1" x14ac:dyDescent="0.35">
      <c r="A651" s="18"/>
    </row>
    <row r="652" spans="1:1" x14ac:dyDescent="0.35">
      <c r="A652" s="18"/>
    </row>
    <row r="653" spans="1:1" x14ac:dyDescent="0.35">
      <c r="A653" s="18"/>
    </row>
    <row r="654" spans="1:1" x14ac:dyDescent="0.35">
      <c r="A654" s="18"/>
    </row>
    <row r="655" spans="1:1" x14ac:dyDescent="0.35">
      <c r="A655" s="18"/>
    </row>
    <row r="656" spans="1:1" x14ac:dyDescent="0.35">
      <c r="A656" s="18"/>
    </row>
    <row r="657" spans="1:1" x14ac:dyDescent="0.35">
      <c r="A657" s="18"/>
    </row>
    <row r="658" spans="1:1" x14ac:dyDescent="0.35">
      <c r="A658" s="18"/>
    </row>
    <row r="659" spans="1:1" x14ac:dyDescent="0.35">
      <c r="A659" s="18"/>
    </row>
    <row r="660" spans="1:1" x14ac:dyDescent="0.35">
      <c r="A660" s="18"/>
    </row>
    <row r="661" spans="1:1" x14ac:dyDescent="0.35">
      <c r="A661" s="18"/>
    </row>
    <row r="662" spans="1:1" x14ac:dyDescent="0.35">
      <c r="A662" s="18"/>
    </row>
    <row r="663" spans="1:1" x14ac:dyDescent="0.35">
      <c r="A663" s="18"/>
    </row>
    <row r="664" spans="1:1" x14ac:dyDescent="0.35">
      <c r="A664" s="18"/>
    </row>
    <row r="665" spans="1:1" x14ac:dyDescent="0.35">
      <c r="A665" s="18"/>
    </row>
    <row r="666" spans="1:1" x14ac:dyDescent="0.35">
      <c r="A666" s="18"/>
    </row>
    <row r="667" spans="1:1" x14ac:dyDescent="0.35">
      <c r="A667" s="18"/>
    </row>
    <row r="668" spans="1:1" x14ac:dyDescent="0.35">
      <c r="A668" s="18"/>
    </row>
    <row r="669" spans="1:1" x14ac:dyDescent="0.35">
      <c r="A669" s="18"/>
    </row>
    <row r="670" spans="1:1" x14ac:dyDescent="0.35">
      <c r="A670" s="18"/>
    </row>
    <row r="671" spans="1:1" x14ac:dyDescent="0.35">
      <c r="A671" s="18"/>
    </row>
    <row r="672" spans="1:1" x14ac:dyDescent="0.35">
      <c r="A672" s="18"/>
    </row>
    <row r="673" spans="1:1" x14ac:dyDescent="0.35">
      <c r="A673" s="18"/>
    </row>
    <row r="674" spans="1:1" x14ac:dyDescent="0.35">
      <c r="A674" s="18"/>
    </row>
    <row r="675" spans="1:1" x14ac:dyDescent="0.35">
      <c r="A675" s="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74EC0-0F5E-492E-B107-C47FA9C4A691}">
  <sheetPr>
    <pageSetUpPr fitToPage="1"/>
  </sheetPr>
  <dimension ref="A1:S197"/>
  <sheetViews>
    <sheetView tabSelected="1" zoomScale="130" zoomScaleNormal="130" workbookViewId="0">
      <pane xSplit="1" ySplit="1" topLeftCell="B23" activePane="bottomRight" state="frozen"/>
      <selection pane="topRight" activeCell="B1" sqref="B1"/>
      <selection pane="bottomLeft" activeCell="A2" sqref="A2"/>
      <selection pane="bottomRight" activeCell="R36" sqref="R36"/>
    </sheetView>
  </sheetViews>
  <sheetFormatPr defaultColWidth="8.81640625" defaultRowHeight="20.149999999999999" customHeight="1" x14ac:dyDescent="0.35"/>
  <cols>
    <col min="1" max="1" width="25.81640625" style="2" bestFit="1" customWidth="1"/>
    <col min="2" max="2" width="12.26953125" style="8" bestFit="1" customWidth="1"/>
    <col min="3" max="3" width="14" style="2" bestFit="1" customWidth="1"/>
    <col min="4" max="4" width="8.81640625" style="2"/>
    <col min="5" max="5" width="8.54296875" style="1" customWidth="1"/>
    <col min="6" max="6" width="8.54296875" style="5" customWidth="1"/>
    <col min="7" max="7" width="8.54296875" style="1" customWidth="1"/>
    <col min="8" max="8" width="8.54296875" style="5" customWidth="1"/>
    <col min="9" max="9" width="8.54296875" style="1" customWidth="1"/>
    <col min="10" max="10" width="8.54296875" style="5" customWidth="1"/>
    <col min="11" max="11" width="8.54296875" style="1" customWidth="1"/>
    <col min="12" max="12" width="8.54296875" style="5" customWidth="1"/>
    <col min="13" max="13" width="8.54296875" style="1" customWidth="1"/>
    <col min="14" max="14" width="8.54296875" style="5" customWidth="1"/>
    <col min="15" max="15" width="8.54296875" style="1" customWidth="1"/>
    <col min="16" max="16" width="8.54296875" style="5" customWidth="1"/>
    <col min="17" max="17" width="11.453125" style="5" customWidth="1"/>
    <col min="18" max="18" width="11.453125" style="10" customWidth="1"/>
    <col min="19" max="19" width="16.1796875" style="1" bestFit="1" customWidth="1"/>
    <col min="20" max="16384" width="8.81640625" style="3"/>
  </cols>
  <sheetData>
    <row r="1" spans="1:19" s="4" customFormat="1" ht="20.149999999999999" customHeight="1" x14ac:dyDescent="0.35">
      <c r="A1" s="1" t="s">
        <v>0</v>
      </c>
      <c r="B1" s="2" t="s">
        <v>142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96</v>
      </c>
      <c r="S1" s="1" t="s">
        <v>119</v>
      </c>
    </row>
    <row r="2" spans="1:19" s="7" customFormat="1" ht="18" customHeight="1" x14ac:dyDescent="0.35">
      <c r="A2" s="10" t="s">
        <v>112</v>
      </c>
      <c r="B2" s="34">
        <v>5700</v>
      </c>
      <c r="C2" s="2" t="s">
        <v>19</v>
      </c>
      <c r="D2" s="2">
        <f>SUM(Tabela34[[#This Row],[HP]:[mut FOOD]])+1</f>
        <v>791</v>
      </c>
      <c r="E2" s="1">
        <v>143</v>
      </c>
      <c r="F2" s="1"/>
      <c r="G2" s="1">
        <v>140</v>
      </c>
      <c r="H2" s="1"/>
      <c r="I2" s="1">
        <v>116</v>
      </c>
      <c r="J2" s="1"/>
      <c r="K2" s="1">
        <v>135</v>
      </c>
      <c r="L2" s="1"/>
      <c r="M2" s="1">
        <v>129</v>
      </c>
      <c r="N2" s="1"/>
      <c r="O2" s="1">
        <v>127</v>
      </c>
      <c r="P2" s="1"/>
      <c r="Q2" s="1"/>
      <c r="R2" s="1"/>
      <c r="S2" s="1" t="s">
        <v>101</v>
      </c>
    </row>
    <row r="3" spans="1:19" s="7" customFormat="1" ht="18" customHeight="1" x14ac:dyDescent="0.35">
      <c r="A3" s="1" t="s">
        <v>113</v>
      </c>
      <c r="B3" s="34">
        <v>17000</v>
      </c>
      <c r="C3" s="2" t="s">
        <v>19</v>
      </c>
      <c r="D3" s="2">
        <f>SUM(Tabela34[[#This Row],[HP]:[mut FOOD]])+1</f>
        <v>1205</v>
      </c>
      <c r="E3" s="1">
        <v>141</v>
      </c>
      <c r="F3" s="5">
        <v>98</v>
      </c>
      <c r="G3" s="1">
        <v>139</v>
      </c>
      <c r="H3" s="5">
        <v>98</v>
      </c>
      <c r="I3" s="1">
        <v>144</v>
      </c>
      <c r="J3" s="5">
        <v>98</v>
      </c>
      <c r="K3" s="1">
        <v>144</v>
      </c>
      <c r="L3" s="5">
        <v>98</v>
      </c>
      <c r="M3" s="1">
        <v>119</v>
      </c>
      <c r="N3" s="1"/>
      <c r="O3" s="1">
        <v>125</v>
      </c>
      <c r="P3" s="1"/>
      <c r="Q3" s="1"/>
      <c r="R3" s="1"/>
      <c r="S3" s="1"/>
    </row>
    <row r="4" spans="1:19" s="7" customFormat="1" ht="18" customHeight="1" x14ac:dyDescent="0.35">
      <c r="A4" s="1" t="s">
        <v>113</v>
      </c>
      <c r="B4" s="34">
        <v>20000</v>
      </c>
      <c r="C4" s="2" t="s">
        <v>19</v>
      </c>
      <c r="D4" s="2">
        <f>SUM(Tabela34[[#This Row],[HP]:[mut FOOD]])+1</f>
        <v>1461</v>
      </c>
      <c r="E4" s="1">
        <v>141</v>
      </c>
      <c r="F4" s="6">
        <v>162</v>
      </c>
      <c r="G4" s="1">
        <v>139</v>
      </c>
      <c r="H4" s="6">
        <v>162</v>
      </c>
      <c r="I4" s="1">
        <v>144</v>
      </c>
      <c r="J4" s="6">
        <v>162</v>
      </c>
      <c r="K4" s="1">
        <v>144</v>
      </c>
      <c r="L4" s="6">
        <v>162</v>
      </c>
      <c r="M4" s="1">
        <v>119</v>
      </c>
      <c r="N4" s="6"/>
      <c r="O4" s="1">
        <v>125</v>
      </c>
      <c r="P4" s="6"/>
      <c r="Q4" s="6" t="s">
        <v>16</v>
      </c>
      <c r="R4" s="1"/>
      <c r="S4" s="1"/>
    </row>
    <row r="5" spans="1:19" s="7" customFormat="1" ht="18" customHeight="1" x14ac:dyDescent="0.35">
      <c r="A5" s="1" t="s">
        <v>113</v>
      </c>
      <c r="B5" s="34">
        <v>24000</v>
      </c>
      <c r="C5" s="2" t="s">
        <v>19</v>
      </c>
      <c r="D5" s="2">
        <f>SUM(Tabela34[[#This Row],[HP]:[mut FOOD]])+1</f>
        <v>1833</v>
      </c>
      <c r="E5" s="1">
        <v>141</v>
      </c>
      <c r="F5" s="6">
        <v>255</v>
      </c>
      <c r="G5" s="1">
        <v>139</v>
      </c>
      <c r="H5" s="6">
        <v>255</v>
      </c>
      <c r="I5" s="1">
        <v>144</v>
      </c>
      <c r="J5" s="6">
        <v>255</v>
      </c>
      <c r="K5" s="1">
        <v>144</v>
      </c>
      <c r="L5" s="6">
        <v>255</v>
      </c>
      <c r="M5" s="1">
        <v>119</v>
      </c>
      <c r="N5" s="6"/>
      <c r="O5" s="1">
        <v>125</v>
      </c>
      <c r="P5" s="6"/>
      <c r="Q5" s="6" t="s">
        <v>16</v>
      </c>
      <c r="R5" s="1"/>
      <c r="S5" s="1"/>
    </row>
    <row r="6" spans="1:19" s="7" customFormat="1" ht="18" customHeight="1" x14ac:dyDescent="0.35">
      <c r="A6" s="10" t="s">
        <v>113</v>
      </c>
      <c r="B6" s="34">
        <v>8000</v>
      </c>
      <c r="C6" s="2" t="s">
        <v>19</v>
      </c>
      <c r="D6" s="2">
        <f>SUM(Tabela34[[#This Row],[HP]:[mut FOOD]])+1</f>
        <v>813</v>
      </c>
      <c r="E6" s="1">
        <v>141</v>
      </c>
      <c r="F6" s="1"/>
      <c r="G6" s="1">
        <v>139</v>
      </c>
      <c r="H6" s="1"/>
      <c r="I6" s="1">
        <v>144</v>
      </c>
      <c r="J6" s="1"/>
      <c r="K6" s="1">
        <v>144</v>
      </c>
      <c r="L6" s="1"/>
      <c r="M6" s="1">
        <v>119</v>
      </c>
      <c r="N6" s="1"/>
      <c r="O6" s="1">
        <v>125</v>
      </c>
      <c r="P6" s="1"/>
      <c r="Q6" s="1"/>
      <c r="R6" s="1"/>
      <c r="S6" s="1" t="s">
        <v>101</v>
      </c>
    </row>
    <row r="7" spans="1:19" s="7" customFormat="1" ht="18" customHeight="1" x14ac:dyDescent="0.35">
      <c r="A7" s="1" t="s">
        <v>20</v>
      </c>
      <c r="B7" s="34">
        <v>13000</v>
      </c>
      <c r="C7" s="2" t="s">
        <v>19</v>
      </c>
      <c r="D7" s="2">
        <f>SUM(Tabela34[[#This Row],[HP]:[mut FOOD]])+1</f>
        <v>1265</v>
      </c>
      <c r="E7" s="1">
        <v>140</v>
      </c>
      <c r="F7" s="5">
        <v>98</v>
      </c>
      <c r="G7" s="1">
        <v>139</v>
      </c>
      <c r="H7" s="5">
        <v>98</v>
      </c>
      <c r="I7" s="1">
        <v>149</v>
      </c>
      <c r="J7" s="5">
        <v>98</v>
      </c>
      <c r="K7" s="1">
        <v>147</v>
      </c>
      <c r="L7" s="5">
        <v>98</v>
      </c>
      <c r="M7" s="1">
        <v>142</v>
      </c>
      <c r="N7" s="5"/>
      <c r="O7" s="1">
        <v>155</v>
      </c>
      <c r="P7" s="5"/>
      <c r="Q7" s="1"/>
      <c r="R7" s="1"/>
      <c r="S7" s="1"/>
    </row>
    <row r="8" spans="1:19" s="7" customFormat="1" ht="18" customHeight="1" x14ac:dyDescent="0.35">
      <c r="A8" s="1" t="s">
        <v>20</v>
      </c>
      <c r="B8" s="34">
        <v>16500</v>
      </c>
      <c r="C8" s="2" t="s">
        <v>19</v>
      </c>
      <c r="D8" s="2">
        <f>SUM(Tabela34[[#This Row],[HP]:[mut FOOD]])+1</f>
        <v>1461</v>
      </c>
      <c r="E8" s="1">
        <v>140</v>
      </c>
      <c r="F8" s="5">
        <v>98</v>
      </c>
      <c r="G8" s="1">
        <v>139</v>
      </c>
      <c r="H8" s="5">
        <v>98</v>
      </c>
      <c r="I8" s="1">
        <v>149</v>
      </c>
      <c r="J8" s="5">
        <v>98</v>
      </c>
      <c r="K8" s="1">
        <v>147</v>
      </c>
      <c r="L8" s="5">
        <v>98</v>
      </c>
      <c r="M8" s="1">
        <v>142</v>
      </c>
      <c r="N8" s="5">
        <v>98</v>
      </c>
      <c r="O8" s="1">
        <v>155</v>
      </c>
      <c r="P8" s="5">
        <v>98</v>
      </c>
      <c r="Q8" s="1"/>
      <c r="R8" s="1"/>
      <c r="S8" s="1"/>
    </row>
    <row r="9" spans="1:19" s="7" customFormat="1" ht="18" customHeight="1" x14ac:dyDescent="0.35">
      <c r="A9" s="1" t="s">
        <v>20</v>
      </c>
      <c r="B9" s="34">
        <v>18500</v>
      </c>
      <c r="C9" s="2" t="s">
        <v>19</v>
      </c>
      <c r="D9" s="2">
        <f>SUM(Tabela34[[#This Row],[HP]:[mut FOOD]])+1</f>
        <v>1893</v>
      </c>
      <c r="E9" s="1">
        <v>140</v>
      </c>
      <c r="F9" s="6">
        <v>255</v>
      </c>
      <c r="G9" s="1">
        <v>139</v>
      </c>
      <c r="H9" s="6">
        <v>255</v>
      </c>
      <c r="I9" s="1">
        <v>149</v>
      </c>
      <c r="J9" s="6">
        <v>255</v>
      </c>
      <c r="K9" s="1">
        <v>147</v>
      </c>
      <c r="L9" s="6">
        <v>255</v>
      </c>
      <c r="M9" s="1">
        <v>142</v>
      </c>
      <c r="N9" s="6"/>
      <c r="O9" s="1">
        <v>155</v>
      </c>
      <c r="P9" s="6"/>
      <c r="Q9" s="6" t="s">
        <v>16</v>
      </c>
      <c r="R9" s="1"/>
      <c r="S9" s="1"/>
    </row>
    <row r="10" spans="1:19" s="7" customFormat="1" ht="18" customHeight="1" x14ac:dyDescent="0.35">
      <c r="A10" s="1" t="s">
        <v>20</v>
      </c>
      <c r="B10" s="34">
        <v>24500</v>
      </c>
      <c r="C10" s="2" t="s">
        <v>19</v>
      </c>
      <c r="D10" s="2">
        <f>SUM(Tabela34[[#This Row],[HP]:[mut FOOD]])+1</f>
        <v>2403</v>
      </c>
      <c r="E10" s="1">
        <v>140</v>
      </c>
      <c r="F10" s="6">
        <v>255</v>
      </c>
      <c r="G10" s="1">
        <v>139</v>
      </c>
      <c r="H10" s="6">
        <v>255</v>
      </c>
      <c r="I10" s="1">
        <v>149</v>
      </c>
      <c r="J10" s="6">
        <v>255</v>
      </c>
      <c r="K10" s="1">
        <v>147</v>
      </c>
      <c r="L10" s="6">
        <v>255</v>
      </c>
      <c r="M10" s="1">
        <v>142</v>
      </c>
      <c r="N10" s="6">
        <v>255</v>
      </c>
      <c r="O10" s="1">
        <v>155</v>
      </c>
      <c r="P10" s="6">
        <v>255</v>
      </c>
      <c r="Q10" s="6" t="s">
        <v>16</v>
      </c>
      <c r="R10" s="1"/>
      <c r="S10" s="1"/>
    </row>
    <row r="11" spans="1:19" s="7" customFormat="1" ht="18" customHeight="1" x14ac:dyDescent="0.35">
      <c r="A11" s="10" t="s">
        <v>20</v>
      </c>
      <c r="B11" s="34">
        <v>6500</v>
      </c>
      <c r="C11" s="2" t="s">
        <v>19</v>
      </c>
      <c r="D11" s="2">
        <f>SUM(Tabela34[[#This Row],[HP]:[mut FOOD]])+1</f>
        <v>873</v>
      </c>
      <c r="E11" s="1">
        <v>140</v>
      </c>
      <c r="F11" s="1"/>
      <c r="G11" s="1">
        <v>139</v>
      </c>
      <c r="H11" s="1"/>
      <c r="I11" s="1">
        <v>149</v>
      </c>
      <c r="J11" s="1"/>
      <c r="K11" s="1">
        <v>147</v>
      </c>
      <c r="L11" s="1"/>
      <c r="M11" s="1">
        <v>142</v>
      </c>
      <c r="N11" s="1"/>
      <c r="O11" s="1">
        <v>155</v>
      </c>
      <c r="P11" s="1"/>
      <c r="Q11" s="1"/>
      <c r="R11" s="1"/>
      <c r="S11" s="1"/>
    </row>
    <row r="12" spans="1:19" s="7" customFormat="1" ht="20.149999999999999" customHeight="1" x14ac:dyDescent="0.35">
      <c r="A12" s="10" t="s">
        <v>21</v>
      </c>
      <c r="B12" s="34">
        <v>1900</v>
      </c>
      <c r="C12" s="2" t="s">
        <v>22</v>
      </c>
      <c r="D12" s="2">
        <f>SUM(Tabela34[[#This Row],[HP]:[mut FOOD]])+1</f>
        <v>700</v>
      </c>
      <c r="E12" s="1">
        <v>117</v>
      </c>
      <c r="F12" s="1"/>
      <c r="G12" s="1">
        <v>144</v>
      </c>
      <c r="H12" s="1"/>
      <c r="I12" s="1">
        <v>160</v>
      </c>
      <c r="J12" s="1"/>
      <c r="K12" s="1">
        <v>149</v>
      </c>
      <c r="L12" s="1"/>
      <c r="M12" s="1"/>
      <c r="N12" s="1"/>
      <c r="O12" s="1">
        <v>129</v>
      </c>
      <c r="P12" s="1"/>
      <c r="Q12" s="1"/>
      <c r="R12" s="1"/>
      <c r="S12" s="1"/>
    </row>
    <row r="13" spans="1:19" s="7" customFormat="1" ht="20.149999999999999" customHeight="1" x14ac:dyDescent="0.35">
      <c r="A13" s="10" t="s">
        <v>23</v>
      </c>
      <c r="B13" s="34">
        <v>1800</v>
      </c>
      <c r="C13" s="2" t="s">
        <v>22</v>
      </c>
      <c r="D13" s="2">
        <f>SUM(Tabela34[[#This Row],[HP]:[mut FOOD]])+1</f>
        <v>745</v>
      </c>
      <c r="E13" s="1">
        <v>114</v>
      </c>
      <c r="F13" s="1"/>
      <c r="G13" s="1">
        <v>123</v>
      </c>
      <c r="H13" s="1"/>
      <c r="I13" s="1">
        <v>136</v>
      </c>
      <c r="J13" s="1"/>
      <c r="K13" s="1">
        <v>135</v>
      </c>
      <c r="L13" s="1"/>
      <c r="M13" s="1">
        <v>106</v>
      </c>
      <c r="N13" s="1"/>
      <c r="O13" s="1">
        <v>130</v>
      </c>
      <c r="P13" s="1"/>
      <c r="Q13" s="1"/>
      <c r="R13" s="1"/>
      <c r="S13" s="1" t="s">
        <v>101</v>
      </c>
    </row>
    <row r="14" spans="1:19" s="7" customFormat="1" ht="20.149999999999999" customHeight="1" x14ac:dyDescent="0.35">
      <c r="A14" s="10" t="s">
        <v>129</v>
      </c>
      <c r="B14" s="34">
        <v>1700</v>
      </c>
      <c r="C14" s="2" t="s">
        <v>19</v>
      </c>
      <c r="D14" s="2">
        <f>SUM(Tabela34[[#This Row],[HP]:[mut FOOD]])+1</f>
        <v>811</v>
      </c>
      <c r="E14" s="1">
        <v>145</v>
      </c>
      <c r="F14" s="1"/>
      <c r="G14" s="1">
        <v>133</v>
      </c>
      <c r="H14" s="1"/>
      <c r="I14" s="1">
        <v>142</v>
      </c>
      <c r="J14" s="1"/>
      <c r="K14" s="1">
        <v>140</v>
      </c>
      <c r="L14" s="1"/>
      <c r="M14" s="1">
        <v>134</v>
      </c>
      <c r="N14" s="1"/>
      <c r="O14" s="1">
        <v>116</v>
      </c>
      <c r="P14" s="1"/>
      <c r="Q14" s="1"/>
      <c r="R14" s="1"/>
      <c r="S14" s="1" t="s">
        <v>101</v>
      </c>
    </row>
    <row r="15" spans="1:19" s="7" customFormat="1" ht="20.149999999999999" customHeight="1" x14ac:dyDescent="0.35">
      <c r="A15" s="10" t="s">
        <v>24</v>
      </c>
      <c r="B15" s="34">
        <v>3500</v>
      </c>
      <c r="C15" s="2" t="s">
        <v>25</v>
      </c>
      <c r="D15" s="2">
        <f>SUM(Tabela34[[#This Row],[HP]:[mut FOOD]])+1</f>
        <v>773</v>
      </c>
      <c r="E15" s="1">
        <v>152</v>
      </c>
      <c r="F15" s="1"/>
      <c r="G15" s="1">
        <v>157</v>
      </c>
      <c r="H15" s="1"/>
      <c r="I15" s="1">
        <v>160</v>
      </c>
      <c r="J15" s="1"/>
      <c r="K15" s="1">
        <v>161</v>
      </c>
      <c r="L15" s="1"/>
      <c r="M15" s="1"/>
      <c r="N15" s="1"/>
      <c r="O15" s="1">
        <v>142</v>
      </c>
      <c r="P15" s="1"/>
      <c r="Q15" s="1"/>
      <c r="R15" s="1"/>
      <c r="S15" s="1" t="s">
        <v>101</v>
      </c>
    </row>
    <row r="16" spans="1:19" s="7" customFormat="1" ht="20.149999999999999" customHeight="1" x14ac:dyDescent="0.35">
      <c r="A16" s="10" t="s">
        <v>26</v>
      </c>
      <c r="B16" s="34">
        <v>1200</v>
      </c>
      <c r="C16" s="2" t="s">
        <v>17</v>
      </c>
      <c r="D16" s="2">
        <f>SUM(Tabela34[[#This Row],[HP]:[mut FOOD]])+1</f>
        <v>774</v>
      </c>
      <c r="E16" s="1">
        <v>132</v>
      </c>
      <c r="F16" s="1"/>
      <c r="G16" s="1">
        <v>153</v>
      </c>
      <c r="H16" s="1"/>
      <c r="I16" s="1">
        <v>144</v>
      </c>
      <c r="J16" s="1"/>
      <c r="K16" s="1">
        <v>130</v>
      </c>
      <c r="L16" s="1"/>
      <c r="M16" s="1">
        <v>116</v>
      </c>
      <c r="N16" s="1"/>
      <c r="O16" s="1">
        <v>98</v>
      </c>
      <c r="P16" s="1"/>
      <c r="Q16" s="1"/>
      <c r="R16" s="1"/>
      <c r="S16" s="1" t="s">
        <v>101</v>
      </c>
    </row>
    <row r="17" spans="1:19" s="7" customFormat="1" ht="20.149999999999999" customHeight="1" x14ac:dyDescent="0.35">
      <c r="A17" s="33" t="s">
        <v>148</v>
      </c>
      <c r="B17" s="34">
        <v>11000</v>
      </c>
      <c r="C17" s="33" t="s">
        <v>17</v>
      </c>
      <c r="D17" s="2">
        <f>SUM(Tabela34[[#This Row],[HP]:[mut FOOD]])+1</f>
        <v>600</v>
      </c>
      <c r="E17" s="1">
        <v>164</v>
      </c>
      <c r="F17" s="5"/>
      <c r="G17" s="1">
        <v>137</v>
      </c>
      <c r="H17" s="5"/>
      <c r="I17" s="1">
        <v>131</v>
      </c>
      <c r="J17" s="5"/>
      <c r="K17" s="1">
        <v>136</v>
      </c>
      <c r="L17" s="5"/>
      <c r="M17" s="1"/>
      <c r="N17" s="5"/>
      <c r="O17" s="1">
        <v>31</v>
      </c>
      <c r="P17" s="5"/>
      <c r="Q17" s="5"/>
      <c r="R17" s="10"/>
      <c r="S17" s="1"/>
    </row>
    <row r="18" spans="1:19" s="7" customFormat="1" ht="20.149999999999999" customHeight="1" x14ac:dyDescent="0.35">
      <c r="A18" s="33" t="s">
        <v>148</v>
      </c>
      <c r="B18" s="34">
        <v>14500</v>
      </c>
      <c r="C18" s="33" t="s">
        <v>17</v>
      </c>
      <c r="D18" s="2">
        <f>SUM(Tabela34[[#This Row],[HP]:[mut FOOD]])+1</f>
        <v>700</v>
      </c>
      <c r="E18" s="1">
        <v>164</v>
      </c>
      <c r="F18" s="5"/>
      <c r="G18" s="1">
        <v>137</v>
      </c>
      <c r="H18" s="5"/>
      <c r="I18" s="1">
        <v>131</v>
      </c>
      <c r="J18" s="5"/>
      <c r="K18" s="1">
        <v>136</v>
      </c>
      <c r="L18" s="5"/>
      <c r="M18" s="1"/>
      <c r="N18" s="5"/>
      <c r="O18" s="1">
        <v>131</v>
      </c>
      <c r="P18" s="5"/>
      <c r="Q18" s="5"/>
      <c r="R18" s="10"/>
      <c r="S18" s="1"/>
    </row>
    <row r="19" spans="1:19" s="7" customFormat="1" ht="20.149999999999999" customHeight="1" x14ac:dyDescent="0.35">
      <c r="A19" s="10" t="s">
        <v>95</v>
      </c>
      <c r="B19" s="34">
        <v>7500</v>
      </c>
      <c r="C19" s="2" t="s">
        <v>17</v>
      </c>
      <c r="D19" s="2">
        <f>SUM(Tabela34[[#This Row],[HP]:[mut FOOD]])+1</f>
        <v>750</v>
      </c>
      <c r="E19" s="1">
        <v>141</v>
      </c>
      <c r="F19" s="1"/>
      <c r="G19" s="1">
        <v>126</v>
      </c>
      <c r="H19" s="1"/>
      <c r="I19" s="1">
        <v>125</v>
      </c>
      <c r="J19" s="1"/>
      <c r="K19" s="1">
        <v>131</v>
      </c>
      <c r="L19" s="1"/>
      <c r="M19" s="1">
        <v>110</v>
      </c>
      <c r="N19" s="1"/>
      <c r="O19" s="1">
        <v>116</v>
      </c>
      <c r="P19" s="1"/>
      <c r="Q19" s="1"/>
      <c r="R19" s="1" t="s">
        <v>98</v>
      </c>
      <c r="S19" s="1" t="s">
        <v>101</v>
      </c>
    </row>
    <row r="20" spans="1:19" s="7" customFormat="1" ht="20.149999999999999" customHeight="1" x14ac:dyDescent="0.35">
      <c r="A20" s="10" t="s">
        <v>27</v>
      </c>
      <c r="B20" s="34">
        <v>2100</v>
      </c>
      <c r="C20" s="2" t="s">
        <v>19</v>
      </c>
      <c r="D20" s="2">
        <f>SUM(Tabela34[[#This Row],[HP]:[mut FOOD]])+1</f>
        <v>768</v>
      </c>
      <c r="E20" s="1">
        <v>158</v>
      </c>
      <c r="F20" s="1"/>
      <c r="G20" s="1">
        <v>166</v>
      </c>
      <c r="H20" s="1"/>
      <c r="I20" s="1">
        <v>152</v>
      </c>
      <c r="J20" s="1"/>
      <c r="K20" s="1">
        <v>154</v>
      </c>
      <c r="L20" s="1"/>
      <c r="M20" s="1"/>
      <c r="N20" s="1"/>
      <c r="O20" s="1">
        <v>137</v>
      </c>
      <c r="P20" s="1"/>
      <c r="Q20" s="1"/>
      <c r="R20" s="1"/>
      <c r="S20" s="1" t="s">
        <v>101</v>
      </c>
    </row>
    <row r="21" spans="1:19" s="7" customFormat="1" ht="20.149999999999999" customHeight="1" x14ac:dyDescent="0.35">
      <c r="A21" s="1" t="s">
        <v>28</v>
      </c>
      <c r="B21" s="34">
        <v>14000</v>
      </c>
      <c r="C21" s="2" t="s">
        <v>19</v>
      </c>
      <c r="D21" s="2">
        <f>SUM(Tabela34[[#This Row],[HP]:[mut FOOD]])+1</f>
        <v>1216</v>
      </c>
      <c r="E21" s="1">
        <v>160</v>
      </c>
      <c r="F21" s="5">
        <v>98</v>
      </c>
      <c r="G21" s="1">
        <v>165</v>
      </c>
      <c r="H21" s="5">
        <v>98</v>
      </c>
      <c r="I21" s="1">
        <v>173</v>
      </c>
      <c r="J21" s="5">
        <v>98</v>
      </c>
      <c r="K21" s="1">
        <v>178</v>
      </c>
      <c r="L21" s="5">
        <v>98</v>
      </c>
      <c r="M21" s="1"/>
      <c r="N21" s="5"/>
      <c r="O21" s="1">
        <v>147</v>
      </c>
      <c r="P21" s="5"/>
      <c r="Q21" s="1"/>
      <c r="R21" s="1"/>
      <c r="S21" s="1"/>
    </row>
    <row r="22" spans="1:19" s="7" customFormat="1" ht="20.149999999999999" customHeight="1" x14ac:dyDescent="0.35">
      <c r="A22" s="1" t="s">
        <v>28</v>
      </c>
      <c r="B22" s="34">
        <v>16000</v>
      </c>
      <c r="C22" s="2" t="s">
        <v>19</v>
      </c>
      <c r="D22" s="2">
        <f>SUM(Tabela34[[#This Row],[HP]:[mut FOOD]])+1</f>
        <v>1464</v>
      </c>
      <c r="E22" s="1">
        <v>160</v>
      </c>
      <c r="F22" s="6">
        <v>160</v>
      </c>
      <c r="G22" s="1">
        <v>165</v>
      </c>
      <c r="H22" s="6">
        <v>160</v>
      </c>
      <c r="I22" s="1">
        <v>173</v>
      </c>
      <c r="J22" s="6">
        <v>160</v>
      </c>
      <c r="K22" s="1">
        <v>178</v>
      </c>
      <c r="L22" s="6">
        <v>160</v>
      </c>
      <c r="M22" s="1"/>
      <c r="N22" s="6"/>
      <c r="O22" s="1">
        <v>147</v>
      </c>
      <c r="P22" s="6"/>
      <c r="Q22" s="6" t="s">
        <v>16</v>
      </c>
      <c r="R22" s="1"/>
      <c r="S22" s="1"/>
    </row>
    <row r="23" spans="1:19" s="7" customFormat="1" ht="20.149999999999999" customHeight="1" x14ac:dyDescent="0.35">
      <c r="A23" s="1" t="s">
        <v>28</v>
      </c>
      <c r="B23" s="34">
        <v>19200</v>
      </c>
      <c r="C23" s="2" t="s">
        <v>19</v>
      </c>
      <c r="D23" s="2">
        <f>SUM(Tabela34[[#This Row],[HP]:[mut FOOD]])+1</f>
        <v>1844</v>
      </c>
      <c r="E23" s="1">
        <v>160</v>
      </c>
      <c r="F23" s="6">
        <v>255</v>
      </c>
      <c r="G23" s="1">
        <v>165</v>
      </c>
      <c r="H23" s="6">
        <v>255</v>
      </c>
      <c r="I23" s="1">
        <v>173</v>
      </c>
      <c r="J23" s="6">
        <v>255</v>
      </c>
      <c r="K23" s="1">
        <v>178</v>
      </c>
      <c r="L23" s="6">
        <v>255</v>
      </c>
      <c r="M23" s="1"/>
      <c r="N23" s="6"/>
      <c r="O23" s="1">
        <v>147</v>
      </c>
      <c r="P23" s="6"/>
      <c r="Q23" s="6" t="s">
        <v>16</v>
      </c>
      <c r="R23" s="1"/>
      <c r="S23" s="1"/>
    </row>
    <row r="24" spans="1:19" s="7" customFormat="1" ht="20.149999999999999" customHeight="1" x14ac:dyDescent="0.35">
      <c r="A24" s="10" t="s">
        <v>28</v>
      </c>
      <c r="B24" s="34">
        <v>6500</v>
      </c>
      <c r="C24" s="2" t="s">
        <v>19</v>
      </c>
      <c r="D24" s="2">
        <f>SUM(Tabela34[[#This Row],[HP]:[mut FOOD]])+1</f>
        <v>824</v>
      </c>
      <c r="E24" s="1">
        <v>160</v>
      </c>
      <c r="F24" s="1"/>
      <c r="G24" s="1">
        <v>165</v>
      </c>
      <c r="H24" s="1"/>
      <c r="I24" s="1">
        <v>173</v>
      </c>
      <c r="J24" s="1"/>
      <c r="K24" s="1">
        <v>178</v>
      </c>
      <c r="L24" s="1"/>
      <c r="M24" s="1"/>
      <c r="N24" s="1"/>
      <c r="O24" s="1">
        <v>147</v>
      </c>
      <c r="P24" s="1"/>
      <c r="Q24" s="1"/>
      <c r="R24" s="1"/>
      <c r="S24" s="1" t="s">
        <v>101</v>
      </c>
    </row>
    <row r="25" spans="1:19" s="7" customFormat="1" ht="20.149999999999999" customHeight="1" x14ac:dyDescent="0.35">
      <c r="A25" s="10" t="s">
        <v>29</v>
      </c>
      <c r="B25" s="34">
        <v>4750</v>
      </c>
      <c r="C25" s="2" t="s">
        <v>25</v>
      </c>
      <c r="D25" s="2">
        <f>SUM(Tabela34[[#This Row],[HP]:[mut FOOD]])+1</f>
        <v>771</v>
      </c>
      <c r="E25" s="1">
        <v>155</v>
      </c>
      <c r="F25" s="1"/>
      <c r="G25" s="1">
        <v>152</v>
      </c>
      <c r="H25" s="1"/>
      <c r="I25" s="1">
        <v>163</v>
      </c>
      <c r="J25" s="1"/>
      <c r="K25" s="1">
        <v>154</v>
      </c>
      <c r="L25" s="1"/>
      <c r="M25" s="1"/>
      <c r="N25" s="1"/>
      <c r="O25" s="1">
        <v>146</v>
      </c>
      <c r="P25" s="1"/>
      <c r="Q25" s="1"/>
      <c r="R25" s="1"/>
      <c r="S25" s="1" t="s">
        <v>101</v>
      </c>
    </row>
    <row r="26" spans="1:19" s="7" customFormat="1" ht="20.149999999999999" customHeight="1" x14ac:dyDescent="0.35">
      <c r="A26" s="10" t="s">
        <v>30</v>
      </c>
      <c r="B26" s="34">
        <v>1500</v>
      </c>
      <c r="C26" s="2" t="s">
        <v>25</v>
      </c>
      <c r="D26" s="2">
        <f>SUM(Tabela34[[#This Row],[HP]:[mut FOOD]])+1</f>
        <v>758</v>
      </c>
      <c r="E26" s="1">
        <v>161</v>
      </c>
      <c r="F26" s="1"/>
      <c r="G26" s="1">
        <v>140</v>
      </c>
      <c r="H26" s="1"/>
      <c r="I26" s="1">
        <v>170</v>
      </c>
      <c r="J26" s="1"/>
      <c r="K26" s="1">
        <v>155</v>
      </c>
      <c r="L26" s="1"/>
      <c r="M26" s="1"/>
      <c r="N26" s="1"/>
      <c r="O26" s="1">
        <v>131</v>
      </c>
      <c r="P26" s="1"/>
      <c r="Q26" s="1"/>
      <c r="R26" s="1"/>
      <c r="S26" s="1" t="s">
        <v>101</v>
      </c>
    </row>
    <row r="27" spans="1:19" s="7" customFormat="1" ht="20.149999999999999" customHeight="1" x14ac:dyDescent="0.35">
      <c r="A27" s="1" t="s">
        <v>31</v>
      </c>
      <c r="B27" s="34">
        <v>10000</v>
      </c>
      <c r="C27" s="2" t="s">
        <v>22</v>
      </c>
      <c r="D27" s="2">
        <f>SUM(Tabela34[[#This Row],[HP]:[mut FOOD]])+1</f>
        <v>1184</v>
      </c>
      <c r="E27" s="1">
        <v>146</v>
      </c>
      <c r="F27" s="5">
        <v>98</v>
      </c>
      <c r="G27" s="1">
        <v>125</v>
      </c>
      <c r="H27" s="5">
        <v>98</v>
      </c>
      <c r="I27" s="1">
        <v>139</v>
      </c>
      <c r="J27" s="5">
        <v>98</v>
      </c>
      <c r="K27" s="1">
        <v>139</v>
      </c>
      <c r="L27" s="5">
        <v>98</v>
      </c>
      <c r="M27" s="1">
        <v>110</v>
      </c>
      <c r="N27" s="5"/>
      <c r="O27" s="1">
        <v>132</v>
      </c>
      <c r="P27" s="5"/>
      <c r="Q27" s="1"/>
      <c r="R27" s="1"/>
      <c r="S27" s="1"/>
    </row>
    <row r="28" spans="1:19" ht="20.149999999999999" customHeight="1" x14ac:dyDescent="0.35">
      <c r="A28" s="1" t="s">
        <v>31</v>
      </c>
      <c r="B28" s="34">
        <v>11500</v>
      </c>
      <c r="C28" s="2" t="s">
        <v>22</v>
      </c>
      <c r="D28" s="2">
        <f>SUM(Tabela34[[#This Row],[HP]:[mut FOOD]])+1</f>
        <v>1440</v>
      </c>
      <c r="E28" s="1">
        <v>146</v>
      </c>
      <c r="F28" s="6">
        <v>162</v>
      </c>
      <c r="G28" s="1">
        <v>125</v>
      </c>
      <c r="H28" s="6">
        <v>162</v>
      </c>
      <c r="I28" s="1">
        <v>139</v>
      </c>
      <c r="J28" s="6">
        <v>162</v>
      </c>
      <c r="K28" s="1">
        <v>139</v>
      </c>
      <c r="L28" s="6">
        <v>162</v>
      </c>
      <c r="M28" s="1">
        <v>110</v>
      </c>
      <c r="N28" s="6"/>
      <c r="O28" s="1">
        <v>132</v>
      </c>
      <c r="P28" s="6"/>
      <c r="Q28" s="6" t="s">
        <v>16</v>
      </c>
      <c r="R28" s="1"/>
    </row>
    <row r="29" spans="1:19" ht="20.149999999999999" customHeight="1" x14ac:dyDescent="0.35">
      <c r="A29" s="1" t="s">
        <v>31</v>
      </c>
      <c r="B29" s="34">
        <v>14000</v>
      </c>
      <c r="C29" s="2" t="s">
        <v>22</v>
      </c>
      <c r="D29" s="2">
        <f>SUM(Tabela34[[#This Row],[HP]:[mut FOOD]])+1</f>
        <v>1812</v>
      </c>
      <c r="E29" s="1">
        <v>146</v>
      </c>
      <c r="F29" s="6">
        <v>255</v>
      </c>
      <c r="G29" s="1">
        <v>125</v>
      </c>
      <c r="H29" s="6">
        <v>255</v>
      </c>
      <c r="I29" s="1">
        <v>139</v>
      </c>
      <c r="J29" s="6">
        <v>255</v>
      </c>
      <c r="K29" s="1">
        <v>139</v>
      </c>
      <c r="L29" s="6">
        <v>255</v>
      </c>
      <c r="M29" s="1">
        <v>110</v>
      </c>
      <c r="N29" s="6"/>
      <c r="O29" s="1">
        <v>132</v>
      </c>
      <c r="P29" s="6"/>
      <c r="Q29" s="6" t="s">
        <v>16</v>
      </c>
      <c r="R29" s="1"/>
    </row>
    <row r="30" spans="1:19" ht="20.149999999999999" customHeight="1" x14ac:dyDescent="0.35">
      <c r="A30" s="10" t="s">
        <v>31</v>
      </c>
      <c r="B30" s="34">
        <v>4500</v>
      </c>
      <c r="C30" s="2" t="s">
        <v>22</v>
      </c>
      <c r="D30" s="2">
        <f>SUM(Tabela34[[#This Row],[HP]:[mut FOOD]])+1</f>
        <v>792</v>
      </c>
      <c r="E30" s="1">
        <v>146</v>
      </c>
      <c r="F30" s="1"/>
      <c r="G30" s="1">
        <v>125</v>
      </c>
      <c r="H30" s="1"/>
      <c r="I30" s="1">
        <v>139</v>
      </c>
      <c r="J30" s="1"/>
      <c r="K30" s="1">
        <v>139</v>
      </c>
      <c r="L30" s="1"/>
      <c r="M30" s="1">
        <v>110</v>
      </c>
      <c r="N30" s="1"/>
      <c r="O30" s="1">
        <v>132</v>
      </c>
      <c r="P30" s="1"/>
      <c r="Q30" s="1"/>
      <c r="R30" s="1"/>
      <c r="S30" s="1" t="s">
        <v>101</v>
      </c>
    </row>
    <row r="31" spans="1:19" ht="20.149999999999999" customHeight="1" x14ac:dyDescent="0.35">
      <c r="A31" s="10" t="s">
        <v>126</v>
      </c>
      <c r="B31" s="34">
        <v>3800</v>
      </c>
      <c r="C31" s="2" t="s">
        <v>17</v>
      </c>
      <c r="D31" s="2">
        <f>SUM(Tabela34[[#This Row],[HP]:[mut FOOD]])+1</f>
        <v>748</v>
      </c>
      <c r="E31" s="1">
        <v>141</v>
      </c>
      <c r="F31" s="1"/>
      <c r="G31" s="1">
        <v>132</v>
      </c>
      <c r="H31" s="1"/>
      <c r="I31" s="1">
        <v>125</v>
      </c>
      <c r="J31" s="1"/>
      <c r="K31" s="1">
        <v>116</v>
      </c>
      <c r="L31" s="1"/>
      <c r="M31" s="1">
        <v>115</v>
      </c>
      <c r="N31" s="1"/>
      <c r="O31" s="1">
        <v>118</v>
      </c>
      <c r="P31" s="1"/>
      <c r="Q31" s="1"/>
      <c r="R31" s="1"/>
    </row>
    <row r="32" spans="1:19" ht="20.149999999999999" customHeight="1" x14ac:dyDescent="0.35">
      <c r="A32" s="36" t="s">
        <v>155</v>
      </c>
      <c r="B32" s="34">
        <v>21000</v>
      </c>
      <c r="C32" s="2" t="s">
        <v>19</v>
      </c>
      <c r="D32" s="2">
        <f>SUM(Tabela34[[#This Row],[HP]:[mut FOOD]])+1</f>
        <v>1269</v>
      </c>
      <c r="E32" s="1">
        <v>149</v>
      </c>
      <c r="F32" s="5">
        <v>98</v>
      </c>
      <c r="G32" s="1">
        <v>142</v>
      </c>
      <c r="H32" s="5">
        <v>98</v>
      </c>
      <c r="I32" s="1">
        <v>147</v>
      </c>
      <c r="J32" s="5">
        <v>98</v>
      </c>
      <c r="K32" s="1">
        <v>146</v>
      </c>
      <c r="L32" s="5">
        <v>98</v>
      </c>
      <c r="M32" s="1">
        <v>149</v>
      </c>
      <c r="O32" s="1">
        <v>143</v>
      </c>
      <c r="Q32" s="1"/>
      <c r="R32" s="10" t="s">
        <v>174</v>
      </c>
    </row>
    <row r="33" spans="1:19" ht="20.149999999999999" customHeight="1" x14ac:dyDescent="0.35">
      <c r="A33" s="36" t="s">
        <v>155</v>
      </c>
      <c r="B33" s="34">
        <v>26500</v>
      </c>
      <c r="C33" s="2" t="s">
        <v>19</v>
      </c>
      <c r="D33" s="2">
        <f>SUM(Tabela34[[#This Row],[HP]:[mut FOOD]])+1</f>
        <v>1465</v>
      </c>
      <c r="E33" s="1">
        <v>149</v>
      </c>
      <c r="F33" s="5">
        <v>98</v>
      </c>
      <c r="G33" s="1">
        <v>142</v>
      </c>
      <c r="H33" s="5">
        <v>98</v>
      </c>
      <c r="I33" s="1">
        <v>147</v>
      </c>
      <c r="J33" s="5">
        <v>98</v>
      </c>
      <c r="K33" s="1">
        <v>146</v>
      </c>
      <c r="L33" s="5">
        <v>98</v>
      </c>
      <c r="M33" s="1">
        <v>149</v>
      </c>
      <c r="N33" s="5">
        <v>98</v>
      </c>
      <c r="O33" s="1">
        <v>143</v>
      </c>
      <c r="P33" s="5">
        <v>98</v>
      </c>
      <c r="Q33" s="1"/>
      <c r="R33" s="10" t="s">
        <v>174</v>
      </c>
    </row>
    <row r="34" spans="1:19" ht="20.149999999999999" customHeight="1" x14ac:dyDescent="0.35">
      <c r="A34" s="36" t="s">
        <v>155</v>
      </c>
      <c r="B34" s="34">
        <v>25000</v>
      </c>
      <c r="C34" s="2" t="s">
        <v>19</v>
      </c>
      <c r="D34" s="2">
        <f>SUM(Tabela34[[#This Row],[HP]:[mut FOOD]])+1</f>
        <v>1525</v>
      </c>
      <c r="E34" s="1">
        <v>149</v>
      </c>
      <c r="F34" s="6">
        <v>162</v>
      </c>
      <c r="G34" s="1">
        <v>142</v>
      </c>
      <c r="H34" s="6">
        <v>162</v>
      </c>
      <c r="I34" s="1">
        <v>147</v>
      </c>
      <c r="J34" s="6">
        <v>162</v>
      </c>
      <c r="K34" s="1">
        <v>146</v>
      </c>
      <c r="L34" s="6">
        <v>162</v>
      </c>
      <c r="M34" s="1">
        <v>149</v>
      </c>
      <c r="N34" s="6"/>
      <c r="O34" s="1">
        <v>143</v>
      </c>
      <c r="P34" s="6"/>
      <c r="Q34" s="6" t="s">
        <v>16</v>
      </c>
      <c r="R34" s="10" t="s">
        <v>174</v>
      </c>
    </row>
    <row r="35" spans="1:19" ht="20.149999999999999" customHeight="1" x14ac:dyDescent="0.35">
      <c r="A35" s="36" t="s">
        <v>155</v>
      </c>
      <c r="B35" s="34">
        <v>32000</v>
      </c>
      <c r="C35" s="2" t="s">
        <v>19</v>
      </c>
      <c r="D35" s="2">
        <f>SUM(Tabela34[[#This Row],[HP]:[mut FOOD]])+1</f>
        <v>1849</v>
      </c>
      <c r="E35" s="1">
        <v>149</v>
      </c>
      <c r="F35" s="6">
        <v>162</v>
      </c>
      <c r="G35" s="1">
        <v>142</v>
      </c>
      <c r="H35" s="6">
        <v>162</v>
      </c>
      <c r="I35" s="1">
        <v>147</v>
      </c>
      <c r="J35" s="6">
        <v>162</v>
      </c>
      <c r="K35" s="1">
        <v>146</v>
      </c>
      <c r="L35" s="6">
        <v>162</v>
      </c>
      <c r="M35" s="1">
        <v>149</v>
      </c>
      <c r="N35" s="6">
        <v>162</v>
      </c>
      <c r="O35" s="1">
        <v>143</v>
      </c>
      <c r="P35" s="6">
        <v>162</v>
      </c>
      <c r="Q35" s="6" t="s">
        <v>16</v>
      </c>
      <c r="R35" s="10" t="s">
        <v>174</v>
      </c>
    </row>
    <row r="36" spans="1:19" ht="20.149999999999999" customHeight="1" x14ac:dyDescent="0.35">
      <c r="A36" s="36" t="s">
        <v>155</v>
      </c>
      <c r="B36" s="34">
        <v>30000</v>
      </c>
      <c r="C36" s="2" t="s">
        <v>19</v>
      </c>
      <c r="D36" s="2">
        <f>SUM(Tabela34[[#This Row],[HP]:[mut FOOD]])+1</f>
        <v>1897</v>
      </c>
      <c r="E36" s="1">
        <v>149</v>
      </c>
      <c r="F36" s="6">
        <v>255</v>
      </c>
      <c r="G36" s="1">
        <v>142</v>
      </c>
      <c r="H36" s="6">
        <v>255</v>
      </c>
      <c r="I36" s="1">
        <v>147</v>
      </c>
      <c r="J36" s="6">
        <v>255</v>
      </c>
      <c r="K36" s="1">
        <v>146</v>
      </c>
      <c r="L36" s="6">
        <v>255</v>
      </c>
      <c r="M36" s="1">
        <v>149</v>
      </c>
      <c r="N36" s="6"/>
      <c r="O36" s="1">
        <v>143</v>
      </c>
      <c r="P36" s="6"/>
      <c r="Q36" s="6" t="s">
        <v>16</v>
      </c>
      <c r="R36" s="10" t="s">
        <v>174</v>
      </c>
    </row>
    <row r="37" spans="1:19" ht="20.149999999999999" customHeight="1" x14ac:dyDescent="0.35">
      <c r="A37" s="36" t="s">
        <v>155</v>
      </c>
      <c r="B37" s="34">
        <v>40000</v>
      </c>
      <c r="C37" s="2" t="s">
        <v>19</v>
      </c>
      <c r="D37" s="2">
        <f>SUM(Tabela34[[#This Row],[HP]:[mut FOOD]])+1</f>
        <v>2407</v>
      </c>
      <c r="E37" s="1">
        <v>149</v>
      </c>
      <c r="F37" s="6">
        <v>255</v>
      </c>
      <c r="G37" s="1">
        <v>142</v>
      </c>
      <c r="H37" s="6">
        <v>255</v>
      </c>
      <c r="I37" s="1">
        <v>147</v>
      </c>
      <c r="J37" s="6">
        <v>255</v>
      </c>
      <c r="K37" s="1">
        <v>146</v>
      </c>
      <c r="L37" s="6">
        <v>255</v>
      </c>
      <c r="M37" s="1">
        <v>149</v>
      </c>
      <c r="N37" s="6">
        <v>255</v>
      </c>
      <c r="O37" s="1">
        <v>143</v>
      </c>
      <c r="P37" s="6">
        <v>255</v>
      </c>
      <c r="Q37" s="6" t="s">
        <v>16</v>
      </c>
      <c r="R37" s="10" t="s">
        <v>174</v>
      </c>
    </row>
    <row r="38" spans="1:19" ht="20.149999999999999" customHeight="1" x14ac:dyDescent="0.35">
      <c r="A38" s="33" t="s">
        <v>155</v>
      </c>
      <c r="B38" s="34">
        <v>10500</v>
      </c>
      <c r="C38" s="2" t="s">
        <v>19</v>
      </c>
      <c r="D38" s="2">
        <f>SUM(Tabela34[[#This Row],[HP]:[mut FOOD]])+1</f>
        <v>877</v>
      </c>
      <c r="E38" s="1">
        <v>149</v>
      </c>
      <c r="G38" s="1">
        <v>142</v>
      </c>
      <c r="I38" s="1">
        <v>147</v>
      </c>
      <c r="K38" s="1">
        <v>146</v>
      </c>
      <c r="M38" s="1">
        <v>149</v>
      </c>
      <c r="O38" s="1">
        <v>143</v>
      </c>
      <c r="R38" s="10" t="s">
        <v>174</v>
      </c>
    </row>
    <row r="39" spans="1:19" ht="20.149999999999999" customHeight="1" x14ac:dyDescent="0.35">
      <c r="A39" s="10" t="s">
        <v>32</v>
      </c>
      <c r="B39" s="34">
        <v>4200</v>
      </c>
      <c r="C39" s="2" t="s">
        <v>22</v>
      </c>
      <c r="D39" s="2">
        <f>SUM(Tabela34[[#This Row],[HP]:[mut FOOD]])+1</f>
        <v>749</v>
      </c>
      <c r="E39" s="1">
        <v>129</v>
      </c>
      <c r="F39" s="1"/>
      <c r="G39" s="1">
        <v>133</v>
      </c>
      <c r="H39" s="1"/>
      <c r="I39" s="1">
        <v>127</v>
      </c>
      <c r="J39" s="1"/>
      <c r="K39" s="1">
        <v>134</v>
      </c>
      <c r="L39" s="1"/>
      <c r="M39" s="1">
        <v>113</v>
      </c>
      <c r="N39" s="1"/>
      <c r="O39" s="1">
        <v>112</v>
      </c>
      <c r="P39" s="1"/>
      <c r="Q39" s="1"/>
      <c r="R39" s="1"/>
      <c r="S39" s="1" t="s">
        <v>101</v>
      </c>
    </row>
    <row r="40" spans="1:19" ht="20.149999999999999" customHeight="1" x14ac:dyDescent="0.35">
      <c r="A40" s="1" t="s">
        <v>33</v>
      </c>
      <c r="B40" s="34">
        <v>15100</v>
      </c>
      <c r="C40" s="2" t="s">
        <v>19</v>
      </c>
      <c r="D40" s="2">
        <f>SUM(Tabela34[[#This Row],[HP]:[mut FOOD]])+1</f>
        <v>954</v>
      </c>
      <c r="E40" s="1">
        <v>136</v>
      </c>
      <c r="F40" s="5">
        <v>98</v>
      </c>
      <c r="G40" s="1">
        <v>129</v>
      </c>
      <c r="I40" s="1">
        <v>115</v>
      </c>
      <c r="K40" s="1">
        <v>136</v>
      </c>
      <c r="L40" s="5">
        <v>98</v>
      </c>
      <c r="M40" s="1">
        <v>124</v>
      </c>
      <c r="O40" s="1">
        <v>117</v>
      </c>
      <c r="Q40" s="1"/>
      <c r="R40" s="1"/>
    </row>
    <row r="41" spans="1:19" ht="20.149999999999999" customHeight="1" x14ac:dyDescent="0.35">
      <c r="A41" s="1" t="s">
        <v>33</v>
      </c>
      <c r="B41" s="34">
        <v>22100</v>
      </c>
      <c r="C41" s="2" t="s">
        <v>19</v>
      </c>
      <c r="D41" s="2">
        <f>SUM(Tabela34[[#This Row],[HP]:[mut FOOD]])+1</f>
        <v>1207</v>
      </c>
      <c r="E41" s="1">
        <v>143</v>
      </c>
      <c r="F41" s="5">
        <v>98</v>
      </c>
      <c r="G41" s="1">
        <v>146</v>
      </c>
      <c r="H41" s="5">
        <v>98</v>
      </c>
      <c r="I41" s="1">
        <v>140</v>
      </c>
      <c r="J41" s="5">
        <v>98</v>
      </c>
      <c r="K41" s="1">
        <v>144</v>
      </c>
      <c r="L41" s="5">
        <v>98</v>
      </c>
      <c r="M41" s="1">
        <v>124</v>
      </c>
      <c r="O41" s="1">
        <v>117</v>
      </c>
      <c r="Q41" s="1"/>
      <c r="R41" s="1"/>
    </row>
    <row r="42" spans="1:19" ht="20.149999999999999" customHeight="1" x14ac:dyDescent="0.35">
      <c r="A42" s="1" t="s">
        <v>33</v>
      </c>
      <c r="B42" s="34">
        <v>20000</v>
      </c>
      <c r="C42" s="2" t="s">
        <v>19</v>
      </c>
      <c r="D42" s="2">
        <f>SUM(Tabela34[[#This Row],[HP]:[mut FOOD]])+1</f>
        <v>1325</v>
      </c>
      <c r="E42" s="1">
        <v>143</v>
      </c>
      <c r="F42" s="6">
        <v>255</v>
      </c>
      <c r="G42" s="1">
        <v>146</v>
      </c>
      <c r="H42" s="6"/>
      <c r="I42" s="1">
        <v>140</v>
      </c>
      <c r="J42" s="6"/>
      <c r="K42" s="1">
        <v>144</v>
      </c>
      <c r="L42" s="6">
        <v>255</v>
      </c>
      <c r="M42" s="1">
        <v>124</v>
      </c>
      <c r="N42" s="6"/>
      <c r="O42" s="1">
        <v>117</v>
      </c>
      <c r="P42" s="6"/>
      <c r="Q42" s="6" t="s">
        <v>16</v>
      </c>
      <c r="R42" s="1"/>
    </row>
    <row r="43" spans="1:19" ht="20.149999999999999" customHeight="1" x14ac:dyDescent="0.35">
      <c r="A43" s="1" t="s">
        <v>33</v>
      </c>
      <c r="B43" s="34">
        <v>31700</v>
      </c>
      <c r="C43" s="2" t="s">
        <v>19</v>
      </c>
      <c r="D43" s="2">
        <f>SUM(Tabela34[[#This Row],[HP]:[mut FOOD]])+1</f>
        <v>1835</v>
      </c>
      <c r="E43" s="1">
        <v>143</v>
      </c>
      <c r="F43" s="6">
        <v>255</v>
      </c>
      <c r="G43" s="1">
        <v>146</v>
      </c>
      <c r="H43" s="6">
        <v>255</v>
      </c>
      <c r="I43" s="1">
        <v>140</v>
      </c>
      <c r="J43" s="6">
        <v>255</v>
      </c>
      <c r="K43" s="1">
        <v>144</v>
      </c>
      <c r="L43" s="6">
        <v>255</v>
      </c>
      <c r="M43" s="1">
        <v>124</v>
      </c>
      <c r="N43" s="6"/>
      <c r="O43" s="1">
        <v>117</v>
      </c>
      <c r="P43" s="6"/>
      <c r="Q43" s="6" t="s">
        <v>16</v>
      </c>
      <c r="R43" s="1"/>
    </row>
    <row r="44" spans="1:19" ht="20.149999999999999" customHeight="1" x14ac:dyDescent="0.35">
      <c r="A44" s="10" t="s">
        <v>33</v>
      </c>
      <c r="B44" s="34">
        <v>8800</v>
      </c>
      <c r="C44" s="2" t="s">
        <v>19</v>
      </c>
      <c r="D44" s="2">
        <f>SUM(Tabela34[[#This Row],[HP]:[mut FOOD]])+1</f>
        <v>739</v>
      </c>
      <c r="E44" s="1">
        <v>128</v>
      </c>
      <c r="F44" s="1"/>
      <c r="G44" s="1">
        <v>129</v>
      </c>
      <c r="H44" s="1"/>
      <c r="I44" s="1">
        <v>115</v>
      </c>
      <c r="J44" s="1"/>
      <c r="K44" s="1">
        <v>135</v>
      </c>
      <c r="L44" s="1"/>
      <c r="M44" s="1">
        <v>124</v>
      </c>
      <c r="N44" s="1"/>
      <c r="O44" s="1">
        <v>107</v>
      </c>
      <c r="P44" s="1"/>
      <c r="Q44" s="1"/>
      <c r="R44" s="1"/>
      <c r="S44" s="1" t="s">
        <v>101</v>
      </c>
    </row>
    <row r="45" spans="1:19" ht="20.149999999999999" customHeight="1" x14ac:dyDescent="0.35">
      <c r="A45" s="10" t="s">
        <v>33</v>
      </c>
      <c r="B45" s="34">
        <v>12500</v>
      </c>
      <c r="C45" s="2" t="s">
        <v>19</v>
      </c>
      <c r="D45" s="2">
        <f>SUM(Tabela34[[#This Row],[HP]:[mut FOOD]])+1</f>
        <v>815</v>
      </c>
      <c r="E45" s="1">
        <v>143</v>
      </c>
      <c r="F45" s="1"/>
      <c r="G45" s="1">
        <v>146</v>
      </c>
      <c r="H45" s="1"/>
      <c r="I45" s="1">
        <v>140</v>
      </c>
      <c r="J45" s="1"/>
      <c r="K45" s="1">
        <v>144</v>
      </c>
      <c r="L45" s="1"/>
      <c r="M45" s="1">
        <v>124</v>
      </c>
      <c r="N45" s="1"/>
      <c r="O45" s="1">
        <v>117</v>
      </c>
      <c r="P45" s="1"/>
      <c r="Q45" s="1"/>
      <c r="R45" s="1"/>
      <c r="S45" s="1" t="s">
        <v>101</v>
      </c>
    </row>
    <row r="46" spans="1:19" ht="20.149999999999999" customHeight="1" x14ac:dyDescent="0.35">
      <c r="A46" s="10" t="s">
        <v>34</v>
      </c>
      <c r="B46" s="34">
        <v>10500</v>
      </c>
      <c r="C46" s="2" t="s">
        <v>19</v>
      </c>
      <c r="D46" s="2">
        <f>SUM(Tabela34[[#This Row],[HP]:[mut FOOD]])+1</f>
        <v>732</v>
      </c>
      <c r="E46" s="1">
        <v>126</v>
      </c>
      <c r="F46" s="1"/>
      <c r="G46" s="1">
        <v>111</v>
      </c>
      <c r="H46" s="1"/>
      <c r="I46" s="1">
        <v>119</v>
      </c>
      <c r="J46" s="1"/>
      <c r="K46" s="1">
        <v>144</v>
      </c>
      <c r="L46" s="1"/>
      <c r="M46" s="1">
        <v>121</v>
      </c>
      <c r="N46" s="1"/>
      <c r="O46" s="1">
        <v>110</v>
      </c>
      <c r="P46" s="1"/>
      <c r="Q46" s="1"/>
      <c r="R46" s="1"/>
      <c r="S46" s="1" t="s">
        <v>101</v>
      </c>
    </row>
    <row r="47" spans="1:19" ht="20.149999999999999" customHeight="1" x14ac:dyDescent="0.35">
      <c r="A47" s="10" t="s">
        <v>130</v>
      </c>
      <c r="B47" s="34">
        <v>1400</v>
      </c>
      <c r="C47" s="2" t="s">
        <v>22</v>
      </c>
      <c r="D47" s="2">
        <f>SUM(Tabela34[[#This Row],[HP]:[mut FOOD]])+1</f>
        <v>873</v>
      </c>
      <c r="E47" s="1">
        <v>146</v>
      </c>
      <c r="F47" s="1"/>
      <c r="G47" s="1">
        <v>145</v>
      </c>
      <c r="H47" s="1"/>
      <c r="I47" s="1">
        <v>149</v>
      </c>
      <c r="J47" s="1"/>
      <c r="K47" s="1">
        <v>148</v>
      </c>
      <c r="L47" s="1"/>
      <c r="M47" s="1">
        <v>145</v>
      </c>
      <c r="N47" s="1"/>
      <c r="O47" s="1">
        <v>139</v>
      </c>
      <c r="P47" s="1"/>
      <c r="Q47" s="1"/>
      <c r="R47" s="1"/>
      <c r="S47" s="1" t="s">
        <v>101</v>
      </c>
    </row>
    <row r="48" spans="1:19" ht="20.149999999999999" customHeight="1" x14ac:dyDescent="0.35">
      <c r="A48" s="10" t="s">
        <v>36</v>
      </c>
      <c r="B48" s="34">
        <v>1500</v>
      </c>
      <c r="C48" s="2" t="s">
        <v>18</v>
      </c>
      <c r="D48" s="2">
        <f>SUM(Tabela34[[#This Row],[HP]:[mut FOOD]])+1</f>
        <v>766</v>
      </c>
      <c r="E48" s="1">
        <v>118</v>
      </c>
      <c r="F48" s="1"/>
      <c r="G48" s="1">
        <v>135</v>
      </c>
      <c r="H48" s="1"/>
      <c r="I48" s="1">
        <v>131</v>
      </c>
      <c r="J48" s="1"/>
      <c r="K48" s="1">
        <v>125</v>
      </c>
      <c r="L48" s="1"/>
      <c r="M48" s="1">
        <v>126</v>
      </c>
      <c r="N48" s="1"/>
      <c r="O48" s="1">
        <v>130</v>
      </c>
      <c r="P48" s="1"/>
      <c r="Q48" s="1"/>
      <c r="R48" s="1"/>
    </row>
    <row r="49" spans="1:19" ht="20.149999999999999" customHeight="1" x14ac:dyDescent="0.35">
      <c r="A49" s="1" t="s">
        <v>131</v>
      </c>
      <c r="B49" s="34">
        <v>8500</v>
      </c>
      <c r="C49" s="2" t="s">
        <v>19</v>
      </c>
      <c r="D49" s="2">
        <f>SUM(Tabela34[[#This Row],[HP]:[mut FOOD]])+1</f>
        <v>1267</v>
      </c>
      <c r="E49" s="1">
        <v>143</v>
      </c>
      <c r="F49" s="5">
        <v>98</v>
      </c>
      <c r="G49" s="1">
        <v>114</v>
      </c>
      <c r="H49" s="5">
        <v>98</v>
      </c>
      <c r="I49" s="1">
        <v>121</v>
      </c>
      <c r="J49" s="5">
        <v>98</v>
      </c>
      <c r="K49" s="1">
        <v>135</v>
      </c>
      <c r="L49" s="5">
        <v>98</v>
      </c>
      <c r="M49" s="1">
        <v>118</v>
      </c>
      <c r="O49" s="1">
        <v>145</v>
      </c>
      <c r="P49" s="5">
        <v>98</v>
      </c>
      <c r="Q49" s="1"/>
      <c r="R49" s="1"/>
    </row>
    <row r="50" spans="1:19" ht="20.149999999999999" customHeight="1" x14ac:dyDescent="0.35">
      <c r="A50" s="1" t="s">
        <v>131</v>
      </c>
      <c r="B50" s="34">
        <v>12500</v>
      </c>
      <c r="C50" s="2" t="s">
        <v>19</v>
      </c>
      <c r="D50" s="2">
        <f>SUM(Tabela34[[#This Row],[HP]:[mut FOOD]])+1</f>
        <v>2052</v>
      </c>
      <c r="E50" s="1">
        <v>143</v>
      </c>
      <c r="F50" s="6">
        <v>255</v>
      </c>
      <c r="G50" s="1">
        <v>114</v>
      </c>
      <c r="H50" s="6">
        <v>255</v>
      </c>
      <c r="I50" s="1">
        <v>121</v>
      </c>
      <c r="J50" s="6">
        <v>255</v>
      </c>
      <c r="K50" s="1">
        <v>135</v>
      </c>
      <c r="L50" s="6">
        <v>255</v>
      </c>
      <c r="M50" s="1">
        <v>118</v>
      </c>
      <c r="N50" s="6"/>
      <c r="O50" s="1">
        <v>145</v>
      </c>
      <c r="P50" s="6">
        <v>255</v>
      </c>
      <c r="Q50" s="6" t="s">
        <v>16</v>
      </c>
      <c r="R50" s="1"/>
    </row>
    <row r="51" spans="1:19" ht="20.149999999999999" customHeight="1" x14ac:dyDescent="0.35">
      <c r="A51" s="10" t="s">
        <v>131</v>
      </c>
      <c r="B51" s="34">
        <v>3300</v>
      </c>
      <c r="C51" s="2" t="s">
        <v>19</v>
      </c>
      <c r="D51" s="2">
        <f>SUM(Tabela34[[#This Row],[HP]:[mut FOOD]])+1</f>
        <v>777</v>
      </c>
      <c r="E51" s="1">
        <v>143</v>
      </c>
      <c r="F51" s="1"/>
      <c r="G51" s="1">
        <v>114</v>
      </c>
      <c r="H51" s="1"/>
      <c r="I51" s="1">
        <v>121</v>
      </c>
      <c r="J51" s="1"/>
      <c r="K51" s="1">
        <v>135</v>
      </c>
      <c r="L51" s="1"/>
      <c r="M51" s="1">
        <v>118</v>
      </c>
      <c r="N51" s="1"/>
      <c r="O51" s="1">
        <v>145</v>
      </c>
      <c r="P51" s="1"/>
      <c r="Q51" s="1"/>
      <c r="R51" s="1"/>
      <c r="S51" s="1" t="s">
        <v>101</v>
      </c>
    </row>
    <row r="52" spans="1:19" ht="20.149999999999999" customHeight="1" x14ac:dyDescent="0.35">
      <c r="A52" s="1" t="s">
        <v>132</v>
      </c>
      <c r="B52" s="34">
        <v>17000</v>
      </c>
      <c r="C52" s="2" t="s">
        <v>19</v>
      </c>
      <c r="D52" s="2">
        <f>SUM(Tabela34[[#This Row],[HP]:[mut FOOD]])+1</f>
        <v>1224</v>
      </c>
      <c r="E52" s="1">
        <v>145</v>
      </c>
      <c r="F52" s="5">
        <v>98</v>
      </c>
      <c r="G52" s="1">
        <v>137</v>
      </c>
      <c r="H52" s="5">
        <v>98</v>
      </c>
      <c r="I52" s="1">
        <v>143</v>
      </c>
      <c r="J52" s="5">
        <v>98</v>
      </c>
      <c r="K52" s="1">
        <v>154</v>
      </c>
      <c r="L52" s="5">
        <v>98</v>
      </c>
      <c r="M52" s="1">
        <v>129</v>
      </c>
      <c r="O52" s="1">
        <v>123</v>
      </c>
      <c r="Q52" s="1"/>
      <c r="R52" s="1"/>
    </row>
    <row r="53" spans="1:19" ht="20.149999999999999" customHeight="1" x14ac:dyDescent="0.35">
      <c r="A53" s="1" t="s">
        <v>132</v>
      </c>
      <c r="B53" s="34">
        <v>19500</v>
      </c>
      <c r="C53" s="2" t="s">
        <v>19</v>
      </c>
      <c r="D53" s="2">
        <f>SUM(Tabela34[[#This Row],[HP]:[mut FOOD]])+1</f>
        <v>1472</v>
      </c>
      <c r="E53" s="1">
        <v>145</v>
      </c>
      <c r="F53" s="6">
        <v>160</v>
      </c>
      <c r="G53" s="1">
        <v>137</v>
      </c>
      <c r="H53" s="6">
        <v>160</v>
      </c>
      <c r="I53" s="1">
        <v>143</v>
      </c>
      <c r="J53" s="6">
        <v>160</v>
      </c>
      <c r="K53" s="1">
        <v>154</v>
      </c>
      <c r="L53" s="6">
        <v>160</v>
      </c>
      <c r="M53" s="1">
        <v>129</v>
      </c>
      <c r="N53" s="6"/>
      <c r="O53" s="1">
        <v>123</v>
      </c>
      <c r="P53" s="6"/>
      <c r="Q53" s="6" t="s">
        <v>16</v>
      </c>
      <c r="R53" s="1"/>
    </row>
    <row r="54" spans="1:19" ht="20.149999999999999" customHeight="1" x14ac:dyDescent="0.35">
      <c r="A54" s="1" t="s">
        <v>132</v>
      </c>
      <c r="B54" s="34">
        <v>23700</v>
      </c>
      <c r="C54" s="2" t="s">
        <v>19</v>
      </c>
      <c r="D54" s="2">
        <f>SUM(Tabela34[[#This Row],[HP]:[mut FOOD]])+1</f>
        <v>1852</v>
      </c>
      <c r="E54" s="1">
        <v>145</v>
      </c>
      <c r="F54" s="6">
        <v>255</v>
      </c>
      <c r="G54" s="1">
        <v>137</v>
      </c>
      <c r="H54" s="6">
        <v>255</v>
      </c>
      <c r="I54" s="1">
        <v>143</v>
      </c>
      <c r="J54" s="6">
        <v>255</v>
      </c>
      <c r="K54" s="1">
        <v>154</v>
      </c>
      <c r="L54" s="6">
        <v>255</v>
      </c>
      <c r="M54" s="1">
        <v>129</v>
      </c>
      <c r="N54" s="6"/>
      <c r="O54" s="1">
        <v>123</v>
      </c>
      <c r="P54" s="6"/>
      <c r="Q54" s="6" t="s">
        <v>16</v>
      </c>
      <c r="R54" s="1"/>
    </row>
    <row r="55" spans="1:19" ht="20.149999999999999" customHeight="1" x14ac:dyDescent="0.35">
      <c r="A55" s="10" t="s">
        <v>132</v>
      </c>
      <c r="B55" s="34">
        <v>8000</v>
      </c>
      <c r="C55" s="2" t="s">
        <v>19</v>
      </c>
      <c r="D55" s="2">
        <f>SUM(Tabela34[[#This Row],[HP]:[mut FOOD]])+1</f>
        <v>832</v>
      </c>
      <c r="E55" s="1">
        <v>145</v>
      </c>
      <c r="F55" s="1"/>
      <c r="G55" s="1">
        <v>137</v>
      </c>
      <c r="H55" s="1"/>
      <c r="I55" s="1">
        <v>143</v>
      </c>
      <c r="J55" s="1"/>
      <c r="K55" s="1">
        <v>154</v>
      </c>
      <c r="L55" s="1"/>
      <c r="M55" s="1">
        <v>129</v>
      </c>
      <c r="N55" s="1"/>
      <c r="O55" s="1">
        <v>123</v>
      </c>
      <c r="P55" s="1"/>
      <c r="Q55" s="1"/>
      <c r="R55" s="1"/>
      <c r="S55" s="1" t="s">
        <v>101</v>
      </c>
    </row>
    <row r="56" spans="1:19" ht="20.149999999999999" customHeight="1" x14ac:dyDescent="0.35">
      <c r="A56" s="35" t="s">
        <v>116</v>
      </c>
      <c r="B56" s="34">
        <v>9000</v>
      </c>
      <c r="C56" s="2" t="s">
        <v>19</v>
      </c>
      <c r="D56" s="2">
        <f>SUM(Tabela34[[#This Row],[HP]:[mut FOOD]])+1</f>
        <v>1157</v>
      </c>
      <c r="E56" s="1">
        <v>132</v>
      </c>
      <c r="F56" s="5">
        <v>98</v>
      </c>
      <c r="G56" s="1">
        <v>134</v>
      </c>
      <c r="H56" s="5">
        <v>98</v>
      </c>
      <c r="I56" s="1">
        <v>117</v>
      </c>
      <c r="J56" s="5">
        <v>98</v>
      </c>
      <c r="K56" s="1">
        <v>131</v>
      </c>
      <c r="L56" s="5">
        <v>98</v>
      </c>
      <c r="M56" s="1">
        <v>134</v>
      </c>
      <c r="N56" s="1"/>
      <c r="O56" s="1">
        <v>116</v>
      </c>
      <c r="P56" s="6"/>
      <c r="Q56" s="6"/>
      <c r="R56" s="1"/>
    </row>
    <row r="57" spans="1:19" ht="20.149999999999999" customHeight="1" x14ac:dyDescent="0.35">
      <c r="A57" s="10" t="s">
        <v>116</v>
      </c>
      <c r="B57" s="34">
        <v>4000</v>
      </c>
      <c r="C57" s="2" t="s">
        <v>19</v>
      </c>
      <c r="D57" s="2">
        <f>SUM(Tabela34[[#This Row],[HP]:[mut FOOD]])+1</f>
        <v>765</v>
      </c>
      <c r="E57" s="1">
        <v>132</v>
      </c>
      <c r="F57" s="1"/>
      <c r="G57" s="1">
        <v>134</v>
      </c>
      <c r="H57" s="1"/>
      <c r="I57" s="1">
        <v>117</v>
      </c>
      <c r="J57" s="1"/>
      <c r="K57" s="1">
        <v>131</v>
      </c>
      <c r="L57" s="1"/>
      <c r="M57" s="1">
        <v>134</v>
      </c>
      <c r="N57" s="1"/>
      <c r="O57" s="1">
        <v>116</v>
      </c>
      <c r="P57" s="1"/>
      <c r="Q57" s="1"/>
      <c r="R57" s="1"/>
      <c r="S57" s="1" t="s">
        <v>101</v>
      </c>
    </row>
    <row r="58" spans="1:19" ht="18" customHeight="1" x14ac:dyDescent="0.35">
      <c r="A58" s="35" t="s">
        <v>127</v>
      </c>
      <c r="B58" s="34">
        <v>14500</v>
      </c>
      <c r="C58" s="2" t="s">
        <v>19</v>
      </c>
      <c r="D58" s="2">
        <f>SUM(Tabela34[[#This Row],[HP]:[mut FOOD]])+1</f>
        <v>1198</v>
      </c>
      <c r="E58" s="1">
        <v>158</v>
      </c>
      <c r="F58" s="5">
        <v>98</v>
      </c>
      <c r="G58" s="1">
        <v>161</v>
      </c>
      <c r="H58" s="5">
        <v>98</v>
      </c>
      <c r="I58" s="1">
        <v>160</v>
      </c>
      <c r="J58" s="5">
        <v>98</v>
      </c>
      <c r="K58" s="1">
        <v>170</v>
      </c>
      <c r="L58" s="5">
        <v>98</v>
      </c>
      <c r="N58" s="1"/>
      <c r="O58" s="1">
        <v>156</v>
      </c>
      <c r="P58" s="1"/>
      <c r="Q58" s="1"/>
      <c r="R58" s="1"/>
    </row>
    <row r="59" spans="1:19" ht="18" customHeight="1" x14ac:dyDescent="0.35">
      <c r="A59" s="35" t="s">
        <v>127</v>
      </c>
      <c r="B59" s="34">
        <v>17000</v>
      </c>
      <c r="C59" s="2" t="s">
        <v>19</v>
      </c>
      <c r="D59" s="2">
        <f>SUM(Tabela34[[#This Row],[HP]:[mut FOOD]])+1</f>
        <v>1454</v>
      </c>
      <c r="E59" s="1">
        <v>158</v>
      </c>
      <c r="F59" s="6">
        <v>162</v>
      </c>
      <c r="G59" s="1">
        <v>161</v>
      </c>
      <c r="H59" s="6">
        <v>162</v>
      </c>
      <c r="I59" s="1">
        <v>160</v>
      </c>
      <c r="J59" s="6">
        <v>162</v>
      </c>
      <c r="K59" s="1">
        <v>170</v>
      </c>
      <c r="L59" s="6">
        <v>162</v>
      </c>
      <c r="N59" s="1"/>
      <c r="O59" s="1">
        <v>156</v>
      </c>
      <c r="P59" s="1"/>
      <c r="Q59" s="6" t="s">
        <v>16</v>
      </c>
      <c r="R59" s="1"/>
    </row>
    <row r="60" spans="1:19" ht="20.149999999999999" customHeight="1" x14ac:dyDescent="0.35">
      <c r="A60" s="35" t="s">
        <v>127</v>
      </c>
      <c r="B60" s="34">
        <v>20500</v>
      </c>
      <c r="C60" s="2" t="s">
        <v>19</v>
      </c>
      <c r="D60" s="2">
        <f>SUM(Tabela34[[#This Row],[HP]:[mut FOOD]])+1</f>
        <v>1826</v>
      </c>
      <c r="E60" s="1">
        <v>158</v>
      </c>
      <c r="F60" s="6">
        <v>255</v>
      </c>
      <c r="G60" s="1">
        <v>161</v>
      </c>
      <c r="H60" s="6">
        <v>255</v>
      </c>
      <c r="I60" s="1">
        <v>160</v>
      </c>
      <c r="J60" s="6">
        <v>255</v>
      </c>
      <c r="K60" s="1">
        <v>170</v>
      </c>
      <c r="L60" s="6">
        <v>255</v>
      </c>
      <c r="N60" s="1"/>
      <c r="O60" s="1">
        <v>156</v>
      </c>
      <c r="P60" s="1"/>
      <c r="Q60" s="6" t="s">
        <v>16</v>
      </c>
      <c r="R60" s="1"/>
    </row>
    <row r="61" spans="1:19" ht="20.149999999999999" customHeight="1" x14ac:dyDescent="0.35">
      <c r="A61" s="10" t="s">
        <v>127</v>
      </c>
      <c r="B61" s="34">
        <v>7000</v>
      </c>
      <c r="C61" s="2" t="s">
        <v>19</v>
      </c>
      <c r="D61" s="2">
        <f>SUM(Tabela34[[#This Row],[HP]:[mut FOOD]])+1</f>
        <v>806</v>
      </c>
      <c r="E61" s="1">
        <v>158</v>
      </c>
      <c r="F61" s="1"/>
      <c r="G61" s="1">
        <v>161</v>
      </c>
      <c r="H61" s="1"/>
      <c r="I61" s="1">
        <v>160</v>
      </c>
      <c r="J61" s="1"/>
      <c r="K61" s="1">
        <v>170</v>
      </c>
      <c r="L61" s="1"/>
      <c r="N61" s="1"/>
      <c r="O61" s="1">
        <v>156</v>
      </c>
      <c r="P61" s="1"/>
      <c r="Q61" s="1"/>
      <c r="R61" s="1"/>
    </row>
    <row r="62" spans="1:19" ht="20.149999999999999" customHeight="1" x14ac:dyDescent="0.35">
      <c r="A62" s="10" t="s">
        <v>39</v>
      </c>
      <c r="B62" s="34">
        <v>4800</v>
      </c>
      <c r="C62" s="2" t="s">
        <v>22</v>
      </c>
      <c r="D62" s="2">
        <f>SUM(Tabela34[[#This Row],[HP]:[mut FOOD]])+1</f>
        <v>723</v>
      </c>
      <c r="E62" s="1">
        <v>134</v>
      </c>
      <c r="F62" s="1"/>
      <c r="G62" s="1">
        <v>125</v>
      </c>
      <c r="H62" s="1"/>
      <c r="I62" s="1">
        <v>105</v>
      </c>
      <c r="J62" s="1"/>
      <c r="K62" s="1">
        <v>134</v>
      </c>
      <c r="L62" s="1"/>
      <c r="M62" s="1">
        <v>112</v>
      </c>
      <c r="N62" s="1"/>
      <c r="O62" s="1">
        <v>112</v>
      </c>
      <c r="P62" s="1"/>
      <c r="Q62" s="1"/>
      <c r="R62" s="1"/>
      <c r="S62" s="1" t="s">
        <v>101</v>
      </c>
    </row>
    <row r="63" spans="1:19" ht="20.149999999999999" customHeight="1" x14ac:dyDescent="0.35">
      <c r="A63" s="10" t="s">
        <v>40</v>
      </c>
      <c r="B63" s="34">
        <v>5100</v>
      </c>
      <c r="C63" s="2" t="s">
        <v>17</v>
      </c>
      <c r="D63" s="2">
        <f>SUM(Tabela34[[#This Row],[HP]:[mut FOOD]])+1</f>
        <v>785</v>
      </c>
      <c r="E63" s="1">
        <v>143</v>
      </c>
      <c r="F63" s="1"/>
      <c r="G63" s="1">
        <v>132</v>
      </c>
      <c r="H63" s="1"/>
      <c r="I63" s="1">
        <v>138</v>
      </c>
      <c r="J63" s="1"/>
      <c r="K63" s="1">
        <v>139</v>
      </c>
      <c r="L63" s="1"/>
      <c r="M63" s="1">
        <v>122</v>
      </c>
      <c r="N63" s="1"/>
      <c r="O63" s="1">
        <v>110</v>
      </c>
      <c r="P63" s="1"/>
      <c r="Q63" s="1"/>
      <c r="R63" s="1"/>
    </row>
    <row r="64" spans="1:19" ht="20.149999999999999" customHeight="1" x14ac:dyDescent="0.35">
      <c r="A64" s="33" t="s">
        <v>149</v>
      </c>
      <c r="B64" s="34">
        <v>3700</v>
      </c>
      <c r="C64" s="33" t="s">
        <v>22</v>
      </c>
      <c r="D64" s="2">
        <f>SUM(Tabela34[[#This Row],[HP]:[mut FOOD]])+1</f>
        <v>759</v>
      </c>
      <c r="E64" s="1">
        <v>149</v>
      </c>
      <c r="G64" s="1">
        <v>153</v>
      </c>
      <c r="I64" s="1">
        <v>169</v>
      </c>
      <c r="M64" s="1">
        <v>139</v>
      </c>
      <c r="O64" s="1">
        <v>148</v>
      </c>
    </row>
    <row r="65" spans="1:19" ht="20.149999999999999" customHeight="1" x14ac:dyDescent="0.35">
      <c r="A65" s="10" t="s">
        <v>41</v>
      </c>
      <c r="B65" s="34">
        <v>2500</v>
      </c>
      <c r="C65" s="2" t="s">
        <v>22</v>
      </c>
      <c r="D65" s="2">
        <f>SUM(Tabela34[[#This Row],[HP]:[mut FOOD]])+1</f>
        <v>768</v>
      </c>
      <c r="E65" s="1">
        <v>135</v>
      </c>
      <c r="F65" s="1"/>
      <c r="G65" s="1">
        <v>142</v>
      </c>
      <c r="H65" s="1"/>
      <c r="I65" s="1">
        <v>135</v>
      </c>
      <c r="J65" s="1"/>
      <c r="K65" s="1">
        <v>134</v>
      </c>
      <c r="L65" s="1"/>
      <c r="M65" s="1">
        <v>116</v>
      </c>
      <c r="N65" s="1"/>
      <c r="O65" s="1">
        <v>105</v>
      </c>
      <c r="P65" s="1"/>
      <c r="Q65" s="1"/>
      <c r="R65" s="1"/>
      <c r="S65" s="1" t="s">
        <v>101</v>
      </c>
    </row>
    <row r="66" spans="1:19" ht="20.149999999999999" customHeight="1" x14ac:dyDescent="0.35">
      <c r="A66" s="10" t="s">
        <v>42</v>
      </c>
      <c r="B66" s="34">
        <v>2000</v>
      </c>
      <c r="C66" s="2" t="s">
        <v>19</v>
      </c>
      <c r="D66" s="2">
        <f>SUM(Tabela34[[#This Row],[HP]:[mut FOOD]])+1</f>
        <v>734</v>
      </c>
      <c r="E66" s="1">
        <v>127</v>
      </c>
      <c r="F66" s="1"/>
      <c r="G66" s="1">
        <v>113</v>
      </c>
      <c r="H66" s="1"/>
      <c r="I66" s="1">
        <v>124</v>
      </c>
      <c r="J66" s="1"/>
      <c r="K66" s="1">
        <v>126</v>
      </c>
      <c r="L66" s="1"/>
      <c r="M66" s="1">
        <v>123</v>
      </c>
      <c r="N66" s="1"/>
      <c r="O66" s="1">
        <v>120</v>
      </c>
      <c r="P66" s="1"/>
      <c r="Q66" s="1"/>
      <c r="R66" s="1"/>
    </row>
    <row r="67" spans="1:19" ht="20.149999999999999" customHeight="1" x14ac:dyDescent="0.35">
      <c r="A67" s="10" t="s">
        <v>43</v>
      </c>
      <c r="B67" s="34">
        <v>1800</v>
      </c>
      <c r="C67" s="2" t="s">
        <v>22</v>
      </c>
      <c r="D67" s="2">
        <f>SUM(Tabela34[[#This Row],[HP]:[mut FOOD]])+1</f>
        <v>736</v>
      </c>
      <c r="E67" s="1">
        <v>125</v>
      </c>
      <c r="F67" s="1"/>
      <c r="G67" s="1">
        <v>130</v>
      </c>
      <c r="H67" s="1"/>
      <c r="I67" s="1">
        <v>127</v>
      </c>
      <c r="J67" s="1"/>
      <c r="K67" s="1">
        <v>128</v>
      </c>
      <c r="L67" s="1"/>
      <c r="M67" s="1">
        <v>109</v>
      </c>
      <c r="N67" s="1"/>
      <c r="O67" s="1">
        <v>116</v>
      </c>
      <c r="P67" s="1"/>
      <c r="Q67" s="1"/>
      <c r="R67" s="1"/>
      <c r="S67" s="1" t="s">
        <v>101</v>
      </c>
    </row>
    <row r="68" spans="1:19" ht="20.149999999999999" customHeight="1" x14ac:dyDescent="0.35">
      <c r="A68" s="1" t="s">
        <v>44</v>
      </c>
      <c r="B68" s="34">
        <v>6000</v>
      </c>
      <c r="C68" s="2" t="s">
        <v>18</v>
      </c>
      <c r="D68" s="2">
        <f>SUM(Tabela34[[#This Row],[HP]:[mut FOOD]])+1</f>
        <v>942</v>
      </c>
      <c r="E68" s="1">
        <v>141</v>
      </c>
      <c r="F68" s="5">
        <v>98</v>
      </c>
      <c r="G68" s="1">
        <v>122</v>
      </c>
      <c r="I68" s="1">
        <v>125</v>
      </c>
      <c r="K68" s="1">
        <v>137</v>
      </c>
      <c r="L68" s="5">
        <v>98</v>
      </c>
      <c r="M68" s="1">
        <v>113</v>
      </c>
      <c r="O68" s="1">
        <v>107</v>
      </c>
      <c r="Q68" s="1"/>
      <c r="R68" s="1" t="s">
        <v>97</v>
      </c>
    </row>
    <row r="69" spans="1:19" ht="20.149999999999999" customHeight="1" x14ac:dyDescent="0.35">
      <c r="A69" s="10" t="s">
        <v>44</v>
      </c>
      <c r="B69" s="34">
        <v>3600</v>
      </c>
      <c r="C69" s="2" t="s">
        <v>18</v>
      </c>
      <c r="D69" s="2">
        <f>SUM(Tabela34[[#This Row],[HP]:[mut FOOD]])+1</f>
        <v>746</v>
      </c>
      <c r="E69" s="1">
        <v>141</v>
      </c>
      <c r="F69" s="1"/>
      <c r="G69" s="1">
        <v>122</v>
      </c>
      <c r="H69" s="1"/>
      <c r="I69" s="1">
        <v>125</v>
      </c>
      <c r="J69" s="1"/>
      <c r="K69" s="1">
        <v>137</v>
      </c>
      <c r="L69" s="1"/>
      <c r="M69" s="1">
        <v>113</v>
      </c>
      <c r="N69" s="1"/>
      <c r="O69" s="1">
        <v>107</v>
      </c>
      <c r="P69" s="1"/>
      <c r="Q69" s="1"/>
      <c r="R69" s="1" t="s">
        <v>97</v>
      </c>
    </row>
    <row r="70" spans="1:19" ht="20.149999999999999" customHeight="1" x14ac:dyDescent="0.35">
      <c r="A70" s="1" t="s">
        <v>45</v>
      </c>
      <c r="B70" s="34">
        <v>22000</v>
      </c>
      <c r="C70" s="2" t="s">
        <v>17</v>
      </c>
      <c r="D70" s="2">
        <f>SUM(Tabela34[[#This Row],[HP]:[mut FOOD]])+1</f>
        <v>1176</v>
      </c>
      <c r="E70" s="1">
        <v>141</v>
      </c>
      <c r="F70" s="5">
        <v>98</v>
      </c>
      <c r="G70" s="1">
        <v>130</v>
      </c>
      <c r="H70" s="5">
        <v>98</v>
      </c>
      <c r="I70" s="1">
        <v>138</v>
      </c>
      <c r="J70" s="5">
        <v>98</v>
      </c>
      <c r="K70" s="1">
        <v>140</v>
      </c>
      <c r="L70" s="5">
        <v>98</v>
      </c>
      <c r="M70" s="1">
        <v>118</v>
      </c>
      <c r="O70" s="1">
        <v>116</v>
      </c>
      <c r="Q70" s="1"/>
      <c r="R70" s="1" t="s">
        <v>97</v>
      </c>
    </row>
    <row r="71" spans="1:19" ht="20.149999999999999" customHeight="1" x14ac:dyDescent="0.35">
      <c r="A71" s="1" t="s">
        <v>45</v>
      </c>
      <c r="B71" s="34">
        <v>26000</v>
      </c>
      <c r="C71" s="2" t="s">
        <v>17</v>
      </c>
      <c r="D71" s="2">
        <f>SUM(Tabela34[[#This Row],[HP]:[mut FOOD]])+1</f>
        <v>1424</v>
      </c>
      <c r="E71" s="1">
        <v>141</v>
      </c>
      <c r="F71" s="6">
        <v>160</v>
      </c>
      <c r="G71" s="1">
        <v>130</v>
      </c>
      <c r="H71" s="6">
        <v>160</v>
      </c>
      <c r="I71" s="1">
        <v>138</v>
      </c>
      <c r="J71" s="6">
        <v>160</v>
      </c>
      <c r="K71" s="1">
        <v>140</v>
      </c>
      <c r="L71" s="6">
        <v>160</v>
      </c>
      <c r="M71" s="1">
        <v>118</v>
      </c>
      <c r="N71" s="6"/>
      <c r="O71" s="1">
        <v>116</v>
      </c>
      <c r="P71" s="6"/>
      <c r="Q71" s="6" t="s">
        <v>16</v>
      </c>
      <c r="R71" s="1" t="s">
        <v>97</v>
      </c>
    </row>
    <row r="72" spans="1:19" ht="20.149999999999999" customHeight="1" x14ac:dyDescent="0.35">
      <c r="A72" s="1" t="s">
        <v>45</v>
      </c>
      <c r="B72" s="34">
        <v>31000</v>
      </c>
      <c r="C72" s="2" t="s">
        <v>17</v>
      </c>
      <c r="D72" s="2">
        <f>SUM(Tabela34[[#This Row],[HP]:[mut FOOD]])+1</f>
        <v>1804</v>
      </c>
      <c r="E72" s="1">
        <v>141</v>
      </c>
      <c r="F72" s="6">
        <v>255</v>
      </c>
      <c r="G72" s="1">
        <v>130</v>
      </c>
      <c r="H72" s="6">
        <v>255</v>
      </c>
      <c r="I72" s="1">
        <v>138</v>
      </c>
      <c r="J72" s="6">
        <v>255</v>
      </c>
      <c r="K72" s="1">
        <v>140</v>
      </c>
      <c r="L72" s="6">
        <v>255</v>
      </c>
      <c r="M72" s="1">
        <v>118</v>
      </c>
      <c r="N72" s="6"/>
      <c r="O72" s="1">
        <v>116</v>
      </c>
      <c r="P72" s="6"/>
      <c r="Q72" s="6" t="s">
        <v>16</v>
      </c>
      <c r="R72" s="1" t="s">
        <v>97</v>
      </c>
    </row>
    <row r="73" spans="1:19" ht="20.149999999999999" customHeight="1" x14ac:dyDescent="0.35">
      <c r="A73" s="10" t="s">
        <v>45</v>
      </c>
      <c r="B73" s="34">
        <v>10000</v>
      </c>
      <c r="C73" s="2" t="s">
        <v>17</v>
      </c>
      <c r="D73" s="2">
        <f>SUM(Tabela34[[#This Row],[HP]:[mut FOOD]])+1</f>
        <v>784</v>
      </c>
      <c r="E73" s="1">
        <v>141</v>
      </c>
      <c r="F73" s="1"/>
      <c r="G73" s="1">
        <v>130</v>
      </c>
      <c r="H73" s="1"/>
      <c r="I73" s="1">
        <v>138</v>
      </c>
      <c r="J73" s="1"/>
      <c r="K73" s="1">
        <v>140</v>
      </c>
      <c r="L73" s="1"/>
      <c r="M73" s="1">
        <v>118</v>
      </c>
      <c r="N73" s="1"/>
      <c r="O73" s="1">
        <v>116</v>
      </c>
      <c r="P73" s="1"/>
      <c r="Q73" s="1"/>
      <c r="R73" s="1" t="s">
        <v>97</v>
      </c>
    </row>
    <row r="74" spans="1:19" ht="20.149999999999999" customHeight="1" x14ac:dyDescent="0.35">
      <c r="A74" s="1" t="s">
        <v>46</v>
      </c>
      <c r="B74" s="34">
        <v>30000</v>
      </c>
      <c r="C74" s="2" t="s">
        <v>19</v>
      </c>
      <c r="D74" s="2">
        <f>SUM(Tabela34[[#This Row],[HP]:[mut FOOD]])+1</f>
        <v>1193</v>
      </c>
      <c r="E74" s="1">
        <v>134</v>
      </c>
      <c r="F74" s="5">
        <v>98</v>
      </c>
      <c r="G74" s="1">
        <v>146</v>
      </c>
      <c r="H74" s="5">
        <v>98</v>
      </c>
      <c r="I74" s="1">
        <v>135</v>
      </c>
      <c r="J74" s="5">
        <v>98</v>
      </c>
      <c r="K74" s="1">
        <v>146</v>
      </c>
      <c r="L74" s="5">
        <v>98</v>
      </c>
      <c r="M74" s="1">
        <v>117</v>
      </c>
      <c r="O74" s="1">
        <v>122</v>
      </c>
      <c r="Q74" s="1"/>
      <c r="R74" s="1"/>
    </row>
    <row r="75" spans="1:19" ht="20.149999999999999" customHeight="1" x14ac:dyDescent="0.35">
      <c r="A75" s="10" t="s">
        <v>46</v>
      </c>
      <c r="B75" s="34">
        <v>15000</v>
      </c>
      <c r="C75" s="2" t="s">
        <v>19</v>
      </c>
      <c r="D75" s="2">
        <f>SUM(Tabela34[[#This Row],[HP]:[mut FOOD]])+1</f>
        <v>801</v>
      </c>
      <c r="E75" s="1">
        <v>134</v>
      </c>
      <c r="F75" s="1"/>
      <c r="G75" s="1">
        <v>146</v>
      </c>
      <c r="H75" s="1"/>
      <c r="I75" s="1">
        <v>135</v>
      </c>
      <c r="J75" s="1"/>
      <c r="K75" s="1">
        <v>146</v>
      </c>
      <c r="L75" s="1"/>
      <c r="M75" s="1">
        <v>117</v>
      </c>
      <c r="N75" s="1"/>
      <c r="O75" s="1">
        <v>122</v>
      </c>
      <c r="P75" s="1"/>
      <c r="Q75" s="1"/>
      <c r="R75" s="1"/>
      <c r="S75" s="1" t="s">
        <v>101</v>
      </c>
    </row>
    <row r="76" spans="1:19" ht="20.149999999999999" customHeight="1" x14ac:dyDescent="0.35">
      <c r="A76" s="10" t="s">
        <v>47</v>
      </c>
      <c r="B76" s="34">
        <v>5400</v>
      </c>
      <c r="C76" s="2" t="s">
        <v>25</v>
      </c>
      <c r="D76" s="2">
        <f>SUM(Tabela34[[#This Row],[HP]:[mut FOOD]])+1</f>
        <v>743</v>
      </c>
      <c r="E76" s="1">
        <v>153</v>
      </c>
      <c r="F76" s="1"/>
      <c r="G76" s="1">
        <v>150</v>
      </c>
      <c r="H76" s="1"/>
      <c r="I76" s="1">
        <v>145</v>
      </c>
      <c r="J76" s="1"/>
      <c r="K76" s="1">
        <v>151</v>
      </c>
      <c r="L76" s="1"/>
      <c r="N76" s="1"/>
      <c r="O76" s="1">
        <v>143</v>
      </c>
      <c r="P76" s="1"/>
      <c r="Q76" s="1"/>
      <c r="R76" s="1"/>
      <c r="S76" s="1" t="s">
        <v>101</v>
      </c>
    </row>
    <row r="77" spans="1:19" ht="20.149999999999999" customHeight="1" x14ac:dyDescent="0.35">
      <c r="A77" s="10" t="s">
        <v>115</v>
      </c>
      <c r="B77" s="34">
        <v>8500</v>
      </c>
      <c r="C77" s="2" t="s">
        <v>19</v>
      </c>
      <c r="D77" s="2">
        <f>SUM(Tabela34[[#This Row],[HP]:[mut FOOD]])+1</f>
        <v>503</v>
      </c>
      <c r="E77" s="1">
        <v>81</v>
      </c>
      <c r="F77" s="1"/>
      <c r="G77" s="1">
        <v>87</v>
      </c>
      <c r="H77" s="1"/>
      <c r="I77" s="1">
        <v>90</v>
      </c>
      <c r="J77" s="1"/>
      <c r="K77" s="1">
        <v>86</v>
      </c>
      <c r="L77" s="1"/>
      <c r="M77" s="1">
        <v>77</v>
      </c>
      <c r="N77" s="1"/>
      <c r="O77" s="1">
        <v>81</v>
      </c>
      <c r="P77" s="1"/>
      <c r="Q77" s="1"/>
      <c r="R77" s="1" t="s">
        <v>97</v>
      </c>
    </row>
    <row r="78" spans="1:19" ht="20.149999999999999" customHeight="1" x14ac:dyDescent="0.35">
      <c r="A78" s="10" t="s">
        <v>133</v>
      </c>
      <c r="B78" s="34">
        <v>3200</v>
      </c>
      <c r="C78" s="2" t="s">
        <v>22</v>
      </c>
      <c r="D78" s="2">
        <f>SUM(Tabela34[[#This Row],[HP]:[mut FOOD]])+1</f>
        <v>477</v>
      </c>
      <c r="E78" s="1">
        <v>74</v>
      </c>
      <c r="F78" s="1"/>
      <c r="G78" s="1">
        <v>68</v>
      </c>
      <c r="H78" s="1"/>
      <c r="I78" s="1">
        <v>78</v>
      </c>
      <c r="J78" s="1"/>
      <c r="K78" s="1">
        <v>93</v>
      </c>
      <c r="L78" s="1"/>
      <c r="M78" s="1">
        <v>72</v>
      </c>
      <c r="N78" s="1"/>
      <c r="O78" s="1">
        <v>91</v>
      </c>
      <c r="P78" s="1"/>
      <c r="Q78" s="1"/>
      <c r="R78" s="1"/>
      <c r="S78" s="1" t="s">
        <v>101</v>
      </c>
    </row>
    <row r="79" spans="1:19" ht="20.149999999999999" customHeight="1" x14ac:dyDescent="0.35">
      <c r="A79" s="1" t="s">
        <v>134</v>
      </c>
      <c r="B79" s="34">
        <v>30000</v>
      </c>
      <c r="C79" s="2" t="s">
        <v>22</v>
      </c>
      <c r="D79" s="2">
        <f>SUM(Tabela34[[#This Row],[HP]:[mut FOOD]])+1</f>
        <v>1160</v>
      </c>
      <c r="E79" s="1">
        <v>132</v>
      </c>
      <c r="F79" s="5">
        <v>98</v>
      </c>
      <c r="G79" s="1">
        <v>131</v>
      </c>
      <c r="H79" s="5">
        <v>98</v>
      </c>
      <c r="I79" s="1">
        <v>133</v>
      </c>
      <c r="J79" s="5">
        <v>98</v>
      </c>
      <c r="K79" s="1">
        <v>130</v>
      </c>
      <c r="L79" s="5">
        <v>98</v>
      </c>
      <c r="M79" s="1">
        <v>125</v>
      </c>
      <c r="O79" s="1">
        <v>116</v>
      </c>
      <c r="Q79" s="1"/>
      <c r="R79" s="1"/>
    </row>
    <row r="80" spans="1:19" ht="20.149999999999999" customHeight="1" x14ac:dyDescent="0.35">
      <c r="A80" s="10" t="s">
        <v>134</v>
      </c>
      <c r="B80" s="34">
        <v>15000</v>
      </c>
      <c r="C80" s="2" t="s">
        <v>22</v>
      </c>
      <c r="D80" s="2">
        <f>SUM(Tabela34[[#This Row],[HP]:[mut FOOD]])+1</f>
        <v>768</v>
      </c>
      <c r="E80" s="1">
        <v>132</v>
      </c>
      <c r="F80" s="1"/>
      <c r="G80" s="1">
        <v>131</v>
      </c>
      <c r="H80" s="1"/>
      <c r="I80" s="1">
        <v>133</v>
      </c>
      <c r="J80" s="1"/>
      <c r="K80" s="1">
        <v>130</v>
      </c>
      <c r="L80" s="1"/>
      <c r="M80" s="1">
        <v>125</v>
      </c>
      <c r="N80" s="1"/>
      <c r="O80" s="1">
        <v>116</v>
      </c>
      <c r="P80" s="1"/>
      <c r="Q80" s="1"/>
      <c r="R80" s="1"/>
      <c r="S80" s="1" t="s">
        <v>101</v>
      </c>
    </row>
    <row r="81" spans="1:19" ht="20.149999999999999" customHeight="1" x14ac:dyDescent="0.35">
      <c r="A81" s="33" t="s">
        <v>157</v>
      </c>
      <c r="B81" s="34">
        <v>4000</v>
      </c>
      <c r="C81" s="2" t="s">
        <v>19</v>
      </c>
      <c r="D81" s="2">
        <f>SUM(Tabela34[[#This Row],[HP]:[mut FOOD]])+1</f>
        <v>788</v>
      </c>
      <c r="E81" s="1">
        <v>143</v>
      </c>
      <c r="G81" s="1">
        <v>135</v>
      </c>
      <c r="I81" s="1">
        <v>136</v>
      </c>
      <c r="K81" s="1">
        <v>139</v>
      </c>
      <c r="M81" s="1">
        <v>112</v>
      </c>
      <c r="O81" s="1">
        <v>122</v>
      </c>
    </row>
    <row r="82" spans="1:19" ht="20.149999999999999" customHeight="1" x14ac:dyDescent="0.35">
      <c r="A82" s="10" t="s">
        <v>118</v>
      </c>
      <c r="B82" s="34">
        <v>1700</v>
      </c>
      <c r="C82" s="2" t="s">
        <v>22</v>
      </c>
      <c r="D82" s="2">
        <f>SUM(Tabela34[[#This Row],[HP]:[mut FOOD]])+1</f>
        <v>700</v>
      </c>
      <c r="E82" s="1">
        <v>113</v>
      </c>
      <c r="F82" s="1"/>
      <c r="G82" s="1">
        <v>122</v>
      </c>
      <c r="H82" s="1"/>
      <c r="I82" s="1">
        <v>123</v>
      </c>
      <c r="J82" s="1"/>
      <c r="K82" s="1">
        <v>126</v>
      </c>
      <c r="L82" s="1"/>
      <c r="M82" s="1">
        <v>116</v>
      </c>
      <c r="N82" s="1"/>
      <c r="O82" s="1">
        <v>99</v>
      </c>
      <c r="P82" s="1"/>
      <c r="Q82" s="1"/>
      <c r="R82" s="1"/>
      <c r="S82" s="1" t="s">
        <v>101</v>
      </c>
    </row>
    <row r="83" spans="1:19" ht="20.149999999999999" customHeight="1" x14ac:dyDescent="0.35">
      <c r="A83" s="1" t="s">
        <v>143</v>
      </c>
      <c r="B83" s="34">
        <v>4700</v>
      </c>
      <c r="C83" s="2" t="s">
        <v>17</v>
      </c>
      <c r="D83" s="2">
        <f>SUM(Tabela34[[#This Row],[HP]:[mut FOOD]])+1</f>
        <v>1056</v>
      </c>
      <c r="E83" s="1">
        <v>132</v>
      </c>
      <c r="F83" s="5">
        <v>98</v>
      </c>
      <c r="G83" s="1">
        <v>117</v>
      </c>
      <c r="I83" s="1">
        <v>136</v>
      </c>
      <c r="J83" s="5">
        <v>98</v>
      </c>
      <c r="K83" s="1">
        <v>111</v>
      </c>
      <c r="M83" s="1">
        <v>135</v>
      </c>
      <c r="N83" s="5">
        <v>98</v>
      </c>
      <c r="O83" s="1">
        <v>130</v>
      </c>
      <c r="Q83" s="1"/>
      <c r="R83" s="1"/>
    </row>
    <row r="84" spans="1:19" ht="20.149999999999999" customHeight="1" x14ac:dyDescent="0.35">
      <c r="A84" s="1" t="s">
        <v>143</v>
      </c>
      <c r="B84" s="34">
        <v>5500</v>
      </c>
      <c r="C84" s="2" t="s">
        <v>17</v>
      </c>
      <c r="D84" s="2">
        <f>SUM(Tabela34[[#This Row],[HP]:[mut FOOD]])+1</f>
        <v>1176</v>
      </c>
      <c r="E84" s="1">
        <v>141</v>
      </c>
      <c r="F84" s="5">
        <v>98</v>
      </c>
      <c r="G84" s="1">
        <v>146</v>
      </c>
      <c r="I84" s="1">
        <v>158</v>
      </c>
      <c r="J84" s="5">
        <v>98</v>
      </c>
      <c r="K84" s="1">
        <v>146</v>
      </c>
      <c r="M84" s="1">
        <v>150</v>
      </c>
      <c r="N84" s="5">
        <v>98</v>
      </c>
      <c r="O84" s="1">
        <v>140</v>
      </c>
      <c r="Q84" s="1"/>
      <c r="R84" s="1"/>
    </row>
    <row r="85" spans="1:19" ht="20.149999999999999" customHeight="1" x14ac:dyDescent="0.35">
      <c r="A85" s="1" t="s">
        <v>143</v>
      </c>
      <c r="B85" s="34">
        <v>5500</v>
      </c>
      <c r="C85" s="2" t="s">
        <v>17</v>
      </c>
      <c r="D85" s="2">
        <f>SUM(Tabela34[[#This Row],[HP]:[mut FOOD]])+1</f>
        <v>1242</v>
      </c>
      <c r="E85" s="1">
        <v>132</v>
      </c>
      <c r="F85" s="6">
        <v>160</v>
      </c>
      <c r="G85" s="1">
        <v>117</v>
      </c>
      <c r="H85" s="6"/>
      <c r="I85" s="1">
        <v>136</v>
      </c>
      <c r="J85" s="6">
        <v>160</v>
      </c>
      <c r="K85" s="1">
        <v>111</v>
      </c>
      <c r="L85" s="6"/>
      <c r="M85" s="1">
        <v>135</v>
      </c>
      <c r="N85" s="6">
        <v>160</v>
      </c>
      <c r="O85" s="1">
        <v>130</v>
      </c>
      <c r="P85" s="6"/>
      <c r="Q85" s="6" t="s">
        <v>16</v>
      </c>
      <c r="R85" s="1"/>
    </row>
    <row r="86" spans="1:19" ht="20.149999999999999" customHeight="1" x14ac:dyDescent="0.35">
      <c r="A86" s="1" t="s">
        <v>143</v>
      </c>
      <c r="B86" s="34">
        <v>6600</v>
      </c>
      <c r="C86" s="2" t="s">
        <v>17</v>
      </c>
      <c r="D86" s="2">
        <f>SUM(Tabela34[[#This Row],[HP]:[mut FOOD]])+1</f>
        <v>1527</v>
      </c>
      <c r="E86" s="1">
        <v>132</v>
      </c>
      <c r="F86" s="6">
        <v>255</v>
      </c>
      <c r="G86" s="1">
        <v>117</v>
      </c>
      <c r="H86" s="6"/>
      <c r="I86" s="1">
        <v>136</v>
      </c>
      <c r="J86" s="6">
        <v>255</v>
      </c>
      <c r="K86" s="1">
        <v>111</v>
      </c>
      <c r="L86" s="6"/>
      <c r="M86" s="1">
        <v>135</v>
      </c>
      <c r="N86" s="6">
        <v>255</v>
      </c>
      <c r="O86" s="1">
        <v>130</v>
      </c>
      <c r="P86" s="6"/>
      <c r="Q86" s="6" t="s">
        <v>16</v>
      </c>
      <c r="R86" s="1"/>
    </row>
    <row r="87" spans="1:19" ht="20.149999999999999" customHeight="1" x14ac:dyDescent="0.35">
      <c r="A87" s="1" t="s">
        <v>143</v>
      </c>
      <c r="B87" s="34">
        <v>7200</v>
      </c>
      <c r="C87" s="2" t="s">
        <v>17</v>
      </c>
      <c r="D87" s="2">
        <f>SUM(Tabela34[[#This Row],[HP]:[mut FOOD]])+1</f>
        <v>1647</v>
      </c>
      <c r="E87" s="1">
        <v>141</v>
      </c>
      <c r="F87" s="6">
        <v>255</v>
      </c>
      <c r="G87" s="1">
        <v>146</v>
      </c>
      <c r="H87" s="6"/>
      <c r="I87" s="1">
        <v>158</v>
      </c>
      <c r="J87" s="6">
        <v>255</v>
      </c>
      <c r="K87" s="1">
        <v>146</v>
      </c>
      <c r="L87" s="6"/>
      <c r="M87" s="1">
        <v>150</v>
      </c>
      <c r="N87" s="6">
        <v>255</v>
      </c>
      <c r="O87" s="1">
        <v>140</v>
      </c>
      <c r="P87" s="6"/>
      <c r="Q87" s="6" t="s">
        <v>16</v>
      </c>
      <c r="R87" s="1"/>
    </row>
    <row r="88" spans="1:19" ht="20.149999999999999" customHeight="1" x14ac:dyDescent="0.35">
      <c r="A88" s="10" t="s">
        <v>143</v>
      </c>
      <c r="B88" s="34">
        <v>2400</v>
      </c>
      <c r="C88" s="2" t="s">
        <v>17</v>
      </c>
      <c r="D88" s="2">
        <f>SUM(Tabela34[[#This Row],[HP]:[mut FOOD]])+1</f>
        <v>762</v>
      </c>
      <c r="E88" s="1">
        <v>132</v>
      </c>
      <c r="F88" s="1"/>
      <c r="G88" s="1">
        <v>117</v>
      </c>
      <c r="H88" s="1"/>
      <c r="I88" s="1">
        <v>136</v>
      </c>
      <c r="J88" s="1"/>
      <c r="K88" s="1">
        <v>111</v>
      </c>
      <c r="L88" s="1"/>
      <c r="M88" s="1">
        <v>135</v>
      </c>
      <c r="N88" s="1"/>
      <c r="O88" s="1">
        <v>130</v>
      </c>
      <c r="P88" s="1"/>
      <c r="Q88" s="1"/>
      <c r="R88" s="1"/>
      <c r="S88" s="1" t="s">
        <v>101</v>
      </c>
    </row>
    <row r="89" spans="1:19" ht="20.149999999999999" customHeight="1" x14ac:dyDescent="0.35">
      <c r="A89" s="10" t="s">
        <v>143</v>
      </c>
      <c r="B89" s="34">
        <v>3100</v>
      </c>
      <c r="C89" s="2" t="s">
        <v>17</v>
      </c>
      <c r="D89" s="2">
        <f>SUM(Tabela34[[#This Row],[HP]:[mut FOOD]])+1</f>
        <v>882</v>
      </c>
      <c r="E89" s="1">
        <v>141</v>
      </c>
      <c r="F89" s="1"/>
      <c r="G89" s="1">
        <v>146</v>
      </c>
      <c r="H89" s="1"/>
      <c r="I89" s="1">
        <v>158</v>
      </c>
      <c r="J89" s="1"/>
      <c r="K89" s="1">
        <v>146</v>
      </c>
      <c r="L89" s="1"/>
      <c r="M89" s="1">
        <v>150</v>
      </c>
      <c r="N89" s="1"/>
      <c r="O89" s="1">
        <v>140</v>
      </c>
      <c r="P89" s="1"/>
      <c r="Q89" s="1"/>
      <c r="R89" s="1"/>
      <c r="S89" s="1" t="s">
        <v>101</v>
      </c>
    </row>
    <row r="90" spans="1:19" ht="20.149999999999999" customHeight="1" x14ac:dyDescent="0.35">
      <c r="A90" s="1" t="s">
        <v>114</v>
      </c>
      <c r="B90" s="34">
        <v>30000</v>
      </c>
      <c r="C90" s="2" t="s">
        <v>17</v>
      </c>
      <c r="D90" s="2">
        <f>SUM(Tabela34[[#This Row],[HP]:[mut FOOD]])+1</f>
        <v>997</v>
      </c>
      <c r="E90" s="1">
        <v>111</v>
      </c>
      <c r="F90" s="5">
        <v>98</v>
      </c>
      <c r="G90" s="1">
        <v>92</v>
      </c>
      <c r="H90" s="5">
        <v>98</v>
      </c>
      <c r="I90" s="1">
        <v>104</v>
      </c>
      <c r="J90" s="5">
        <v>98</v>
      </c>
      <c r="K90" s="1">
        <v>99</v>
      </c>
      <c r="L90" s="5">
        <v>98</v>
      </c>
      <c r="M90" s="1">
        <v>104</v>
      </c>
      <c r="O90" s="1">
        <v>94</v>
      </c>
      <c r="Q90" s="1"/>
      <c r="R90" s="1"/>
    </row>
    <row r="91" spans="1:19" ht="20.149999999999999" customHeight="1" x14ac:dyDescent="0.35">
      <c r="A91" s="1" t="s">
        <v>114</v>
      </c>
      <c r="B91" s="34">
        <v>36000</v>
      </c>
      <c r="C91" s="2" t="s">
        <v>17</v>
      </c>
      <c r="D91" s="2">
        <f>SUM(Tabela34[[#This Row],[HP]:[mut FOOD]])+1</f>
        <v>1245</v>
      </c>
      <c r="E91" s="1">
        <v>111</v>
      </c>
      <c r="F91" s="1">
        <v>160</v>
      </c>
      <c r="G91" s="1">
        <v>92</v>
      </c>
      <c r="H91" s="1">
        <v>160</v>
      </c>
      <c r="I91" s="1">
        <v>104</v>
      </c>
      <c r="J91" s="1">
        <v>160</v>
      </c>
      <c r="K91" s="1">
        <v>99</v>
      </c>
      <c r="L91" s="1">
        <v>160</v>
      </c>
      <c r="M91" s="1">
        <v>104</v>
      </c>
      <c r="N91" s="1"/>
      <c r="O91" s="1">
        <v>94</v>
      </c>
      <c r="P91" s="1"/>
      <c r="Q91" s="1"/>
      <c r="R91" s="1"/>
    </row>
    <row r="92" spans="1:19" ht="20.149999999999999" customHeight="1" x14ac:dyDescent="0.35">
      <c r="A92" s="1" t="s">
        <v>114</v>
      </c>
      <c r="B92" s="34">
        <v>46000</v>
      </c>
      <c r="C92" s="2" t="s">
        <v>17</v>
      </c>
      <c r="D92" s="2">
        <f>SUM(Tabela34[[#This Row],[HP]:[mut FOOD]])+1</f>
        <v>1625</v>
      </c>
      <c r="E92" s="1">
        <v>111</v>
      </c>
      <c r="F92" s="1">
        <v>255</v>
      </c>
      <c r="G92" s="1">
        <v>92</v>
      </c>
      <c r="H92" s="1">
        <v>255</v>
      </c>
      <c r="I92" s="1">
        <v>104</v>
      </c>
      <c r="J92" s="1">
        <v>255</v>
      </c>
      <c r="K92" s="1">
        <v>99</v>
      </c>
      <c r="L92" s="1">
        <v>255</v>
      </c>
      <c r="M92" s="1">
        <v>104</v>
      </c>
      <c r="N92" s="1"/>
      <c r="O92" s="1">
        <v>94</v>
      </c>
      <c r="P92" s="1"/>
      <c r="Q92" s="1"/>
      <c r="R92" s="1"/>
    </row>
    <row r="93" spans="1:19" ht="20.149999999999999" customHeight="1" x14ac:dyDescent="0.35">
      <c r="A93" s="10" t="s">
        <v>114</v>
      </c>
      <c r="B93" s="34">
        <v>10000</v>
      </c>
      <c r="C93" s="2" t="s">
        <v>17</v>
      </c>
      <c r="D93" s="2">
        <f>SUM(Tabela34[[#This Row],[HP]:[mut FOOD]])+1</f>
        <v>605</v>
      </c>
      <c r="E93" s="1">
        <v>111</v>
      </c>
      <c r="F93" s="1"/>
      <c r="G93" s="1">
        <v>92</v>
      </c>
      <c r="H93" s="1"/>
      <c r="I93" s="1">
        <v>104</v>
      </c>
      <c r="J93" s="1"/>
      <c r="K93" s="1">
        <v>99</v>
      </c>
      <c r="L93" s="1"/>
      <c r="M93" s="1">
        <v>104</v>
      </c>
      <c r="N93" s="1"/>
      <c r="O93" s="1">
        <v>94</v>
      </c>
      <c r="P93" s="1"/>
      <c r="Q93" s="1"/>
      <c r="R93" s="1"/>
    </row>
    <row r="94" spans="1:19" ht="20.149999999999999" customHeight="1" x14ac:dyDescent="0.35">
      <c r="A94" s="1" t="s">
        <v>52</v>
      </c>
      <c r="B94" s="34">
        <v>12300</v>
      </c>
      <c r="C94" s="2" t="s">
        <v>19</v>
      </c>
      <c r="D94" s="2">
        <f>SUM(Tabela34[[#This Row],[HP]:[mut FOOD]])+1</f>
        <v>968</v>
      </c>
      <c r="E94" s="1">
        <v>131</v>
      </c>
      <c r="F94" s="5">
        <v>98</v>
      </c>
      <c r="G94" s="1">
        <v>138</v>
      </c>
      <c r="I94" s="1">
        <v>151</v>
      </c>
      <c r="K94" s="1">
        <v>135</v>
      </c>
      <c r="L94" s="5">
        <v>98</v>
      </c>
      <c r="M94" s="1">
        <v>114</v>
      </c>
      <c r="O94" s="1">
        <v>102</v>
      </c>
      <c r="Q94" s="1"/>
      <c r="R94" s="1"/>
    </row>
    <row r="95" spans="1:19" ht="20.149999999999999" customHeight="1" x14ac:dyDescent="0.35">
      <c r="A95" s="1" t="s">
        <v>52</v>
      </c>
      <c r="B95" s="34">
        <v>14700</v>
      </c>
      <c r="C95" s="2" t="s">
        <v>19</v>
      </c>
      <c r="D95" s="2">
        <f>SUM(Tabela34[[#This Row],[HP]:[mut FOOD]])+1</f>
        <v>1066</v>
      </c>
      <c r="E95" s="1">
        <v>131</v>
      </c>
      <c r="F95" s="5">
        <v>98</v>
      </c>
      <c r="G95" s="1">
        <v>138</v>
      </c>
      <c r="I95" s="1">
        <v>151</v>
      </c>
      <c r="J95" s="5">
        <v>98</v>
      </c>
      <c r="K95" s="1">
        <v>135</v>
      </c>
      <c r="L95" s="5">
        <v>98</v>
      </c>
      <c r="M95" s="1">
        <v>114</v>
      </c>
      <c r="O95" s="1">
        <v>102</v>
      </c>
      <c r="Q95" s="1"/>
      <c r="R95" s="1"/>
    </row>
    <row r="96" spans="1:19" ht="18" customHeight="1" x14ac:dyDescent="0.35">
      <c r="A96" s="10" t="s">
        <v>52</v>
      </c>
      <c r="B96" s="34">
        <v>7600</v>
      </c>
      <c r="C96" s="2" t="s">
        <v>19</v>
      </c>
      <c r="D96" s="2">
        <f>SUM(Tabela34[[#This Row],[HP]:[mut FOOD]])+1</f>
        <v>772</v>
      </c>
      <c r="E96" s="1">
        <v>131</v>
      </c>
      <c r="F96" s="1"/>
      <c r="G96" s="1">
        <v>138</v>
      </c>
      <c r="H96" s="1"/>
      <c r="I96" s="1">
        <v>151</v>
      </c>
      <c r="J96" s="1"/>
      <c r="K96" s="1">
        <v>135</v>
      </c>
      <c r="L96" s="1"/>
      <c r="M96" s="1">
        <v>114</v>
      </c>
      <c r="N96" s="1"/>
      <c r="O96" s="1">
        <v>102</v>
      </c>
      <c r="P96" s="1"/>
      <c r="Q96" s="1"/>
      <c r="R96" s="1"/>
      <c r="S96" s="1" t="s">
        <v>101</v>
      </c>
    </row>
    <row r="97" spans="1:19" ht="20.149999999999999" customHeight="1" x14ac:dyDescent="0.35">
      <c r="A97" s="33" t="s">
        <v>152</v>
      </c>
      <c r="B97" s="34">
        <v>3000</v>
      </c>
      <c r="C97" s="33" t="s">
        <v>22</v>
      </c>
      <c r="D97" s="2">
        <f>SUM(Tabela34[[#This Row],[HP]:[mut FOOD]])+1</f>
        <v>802</v>
      </c>
      <c r="E97" s="1">
        <v>137</v>
      </c>
      <c r="G97" s="1">
        <v>140</v>
      </c>
      <c r="I97" s="1">
        <v>138</v>
      </c>
      <c r="K97" s="1">
        <v>139</v>
      </c>
      <c r="M97" s="1">
        <v>123</v>
      </c>
      <c r="O97" s="1">
        <v>124</v>
      </c>
    </row>
    <row r="98" spans="1:19" ht="20.149999999999999" customHeight="1" x14ac:dyDescent="0.35">
      <c r="A98" s="10" t="s">
        <v>135</v>
      </c>
      <c r="B98" s="34">
        <v>8700</v>
      </c>
      <c r="C98" s="2" t="s">
        <v>22</v>
      </c>
      <c r="D98" s="2">
        <f>SUM(Tabela34[[#This Row],[HP]:[mut FOOD]])+1</f>
        <v>733</v>
      </c>
      <c r="E98" s="1">
        <v>134</v>
      </c>
      <c r="F98" s="1"/>
      <c r="G98" s="1">
        <v>121</v>
      </c>
      <c r="H98" s="1"/>
      <c r="I98" s="1">
        <v>104</v>
      </c>
      <c r="J98" s="1"/>
      <c r="K98" s="1">
        <v>137</v>
      </c>
      <c r="L98" s="1"/>
      <c r="M98" s="1">
        <v>125</v>
      </c>
      <c r="N98" s="1"/>
      <c r="O98" s="1">
        <v>111</v>
      </c>
      <c r="P98" s="1"/>
      <c r="Q98" s="1"/>
      <c r="R98" s="1"/>
      <c r="S98" s="1" t="s">
        <v>101</v>
      </c>
    </row>
    <row r="99" spans="1:19" ht="20.149999999999999" customHeight="1" x14ac:dyDescent="0.35">
      <c r="A99" s="1" t="s">
        <v>94</v>
      </c>
      <c r="B99" s="34">
        <v>9500</v>
      </c>
      <c r="C99" s="2" t="s">
        <v>18</v>
      </c>
      <c r="D99" s="2">
        <f>SUM(Tabela34[[#This Row],[HP]:[mut FOOD]])+1</f>
        <v>1242</v>
      </c>
      <c r="E99" s="1">
        <v>145</v>
      </c>
      <c r="F99" s="5">
        <v>98</v>
      </c>
      <c r="G99" s="1">
        <v>140</v>
      </c>
      <c r="H99" s="5">
        <v>98</v>
      </c>
      <c r="I99" s="1">
        <v>140</v>
      </c>
      <c r="J99" s="5">
        <v>98</v>
      </c>
      <c r="K99" s="1">
        <v>141</v>
      </c>
      <c r="L99" s="5">
        <v>98</v>
      </c>
      <c r="M99" s="1">
        <v>141</v>
      </c>
      <c r="O99" s="1">
        <v>142</v>
      </c>
      <c r="Q99" s="1"/>
      <c r="R99" s="1" t="s">
        <v>98</v>
      </c>
    </row>
    <row r="100" spans="1:19" ht="20.149999999999999" customHeight="1" x14ac:dyDescent="0.35">
      <c r="A100" s="1" t="s">
        <v>94</v>
      </c>
      <c r="B100" s="34">
        <v>12000</v>
      </c>
      <c r="C100" s="2" t="s">
        <v>18</v>
      </c>
      <c r="D100" s="2">
        <f>SUM(Tabela34[[#This Row],[HP]:[mut FOOD]])+1</f>
        <v>1438</v>
      </c>
      <c r="E100" s="1">
        <v>145</v>
      </c>
      <c r="F100" s="5">
        <v>98</v>
      </c>
      <c r="G100" s="1">
        <v>140</v>
      </c>
      <c r="H100" s="5">
        <v>98</v>
      </c>
      <c r="I100" s="1">
        <v>140</v>
      </c>
      <c r="J100" s="5">
        <v>98</v>
      </c>
      <c r="K100" s="1">
        <v>141</v>
      </c>
      <c r="L100" s="5">
        <v>98</v>
      </c>
      <c r="M100" s="1">
        <v>141</v>
      </c>
      <c r="N100" s="5">
        <v>98</v>
      </c>
      <c r="O100" s="1">
        <v>142</v>
      </c>
      <c r="P100" s="5">
        <v>98</v>
      </c>
      <c r="Q100" s="1"/>
      <c r="R100" s="1" t="s">
        <v>98</v>
      </c>
    </row>
    <row r="101" spans="1:19" ht="20.149999999999999" customHeight="1" x14ac:dyDescent="0.35">
      <c r="A101" s="1" t="s">
        <v>94</v>
      </c>
      <c r="B101" s="34">
        <v>11000</v>
      </c>
      <c r="C101" s="2" t="s">
        <v>18</v>
      </c>
      <c r="D101" s="2">
        <f>SUM(Tabela34[[#This Row],[HP]:[mut FOOD]])+1</f>
        <v>1490</v>
      </c>
      <c r="E101" s="1">
        <v>145</v>
      </c>
      <c r="F101" s="6">
        <v>160</v>
      </c>
      <c r="G101" s="1">
        <v>140</v>
      </c>
      <c r="H101" s="6">
        <v>160</v>
      </c>
      <c r="I101" s="1">
        <v>140</v>
      </c>
      <c r="J101" s="6">
        <v>160</v>
      </c>
      <c r="K101" s="1">
        <v>141</v>
      </c>
      <c r="L101" s="6">
        <v>160</v>
      </c>
      <c r="M101" s="1">
        <v>141</v>
      </c>
      <c r="N101" s="6"/>
      <c r="O101" s="1">
        <v>142</v>
      </c>
      <c r="P101" s="6"/>
      <c r="Q101" s="6" t="s">
        <v>16</v>
      </c>
      <c r="R101" s="1" t="s">
        <v>98</v>
      </c>
    </row>
    <row r="102" spans="1:19" ht="20.149999999999999" customHeight="1" x14ac:dyDescent="0.35">
      <c r="A102" s="1" t="s">
        <v>94</v>
      </c>
      <c r="B102" s="34">
        <v>14000</v>
      </c>
      <c r="C102" s="2" t="s">
        <v>18</v>
      </c>
      <c r="D102" s="2">
        <f>SUM(Tabela34[[#This Row],[HP]:[mut FOOD]])+1</f>
        <v>1810</v>
      </c>
      <c r="E102" s="1">
        <v>145</v>
      </c>
      <c r="F102" s="6">
        <v>160</v>
      </c>
      <c r="G102" s="1">
        <v>140</v>
      </c>
      <c r="H102" s="6">
        <v>160</v>
      </c>
      <c r="I102" s="1">
        <v>140</v>
      </c>
      <c r="J102" s="6">
        <v>160</v>
      </c>
      <c r="K102" s="1">
        <v>141</v>
      </c>
      <c r="L102" s="6">
        <v>160</v>
      </c>
      <c r="M102" s="1">
        <v>141</v>
      </c>
      <c r="N102" s="6">
        <v>160</v>
      </c>
      <c r="O102" s="1">
        <v>142</v>
      </c>
      <c r="P102" s="6">
        <v>160</v>
      </c>
      <c r="Q102" s="6" t="s">
        <v>16</v>
      </c>
      <c r="R102" s="1" t="s">
        <v>98</v>
      </c>
    </row>
    <row r="103" spans="1:19" ht="20.149999999999999" customHeight="1" x14ac:dyDescent="0.35">
      <c r="A103" s="1" t="s">
        <v>94</v>
      </c>
      <c r="B103" s="34">
        <v>13000</v>
      </c>
      <c r="C103" s="2" t="s">
        <v>18</v>
      </c>
      <c r="D103" s="2">
        <f>SUM(Tabela34[[#This Row],[HP]:[mut FOOD]])+1</f>
        <v>1870</v>
      </c>
      <c r="E103" s="1">
        <v>145</v>
      </c>
      <c r="F103" s="6">
        <v>255</v>
      </c>
      <c r="G103" s="1">
        <v>140</v>
      </c>
      <c r="H103" s="6">
        <v>255</v>
      </c>
      <c r="I103" s="1">
        <v>140</v>
      </c>
      <c r="J103" s="6">
        <v>255</v>
      </c>
      <c r="K103" s="1">
        <v>141</v>
      </c>
      <c r="L103" s="6">
        <v>255</v>
      </c>
      <c r="M103" s="1">
        <v>141</v>
      </c>
      <c r="N103" s="6"/>
      <c r="O103" s="1">
        <v>142</v>
      </c>
      <c r="P103" s="6"/>
      <c r="Q103" s="6" t="s">
        <v>16</v>
      </c>
      <c r="R103" s="1" t="s">
        <v>98</v>
      </c>
    </row>
    <row r="104" spans="1:19" ht="20.149999999999999" customHeight="1" x14ac:dyDescent="0.35">
      <c r="A104" s="1" t="s">
        <v>94</v>
      </c>
      <c r="B104" s="34">
        <v>17500</v>
      </c>
      <c r="C104" s="2" t="s">
        <v>18</v>
      </c>
      <c r="D104" s="2">
        <f>SUM(Tabela34[[#This Row],[HP]:[mut FOOD]])+1</f>
        <v>2380</v>
      </c>
      <c r="E104" s="1">
        <v>145</v>
      </c>
      <c r="F104" s="6">
        <v>255</v>
      </c>
      <c r="G104" s="1">
        <v>140</v>
      </c>
      <c r="H104" s="6">
        <v>255</v>
      </c>
      <c r="I104" s="1">
        <v>140</v>
      </c>
      <c r="J104" s="6">
        <v>255</v>
      </c>
      <c r="K104" s="1">
        <v>141</v>
      </c>
      <c r="L104" s="6">
        <v>255</v>
      </c>
      <c r="M104" s="1">
        <v>141</v>
      </c>
      <c r="N104" s="6">
        <v>255</v>
      </c>
      <c r="O104" s="1">
        <v>142</v>
      </c>
      <c r="P104" s="6">
        <v>255</v>
      </c>
      <c r="Q104" s="6" t="s">
        <v>16</v>
      </c>
      <c r="R104" s="1" t="s">
        <v>98</v>
      </c>
    </row>
    <row r="105" spans="1:19" ht="20.149999999999999" customHeight="1" x14ac:dyDescent="0.35">
      <c r="A105" s="10" t="s">
        <v>94</v>
      </c>
      <c r="B105" s="34">
        <v>4400</v>
      </c>
      <c r="C105" s="2" t="s">
        <v>18</v>
      </c>
      <c r="D105" s="2">
        <f>SUM(Tabela34[[#This Row],[HP]:[mut FOOD]])+1</f>
        <v>850</v>
      </c>
      <c r="E105" s="1">
        <v>145</v>
      </c>
      <c r="F105" s="1"/>
      <c r="G105" s="1">
        <v>140</v>
      </c>
      <c r="H105" s="1"/>
      <c r="I105" s="1">
        <v>140</v>
      </c>
      <c r="J105" s="1"/>
      <c r="K105" s="1">
        <v>141</v>
      </c>
      <c r="L105" s="1"/>
      <c r="M105" s="1">
        <v>141</v>
      </c>
      <c r="N105" s="1"/>
      <c r="O105" s="1">
        <v>142</v>
      </c>
      <c r="P105" s="1"/>
      <c r="Q105" s="1"/>
      <c r="R105" s="1" t="s">
        <v>98</v>
      </c>
    </row>
    <row r="106" spans="1:19" ht="20.149999999999999" customHeight="1" x14ac:dyDescent="0.35">
      <c r="A106" s="10" t="s">
        <v>53</v>
      </c>
      <c r="B106" s="34">
        <v>1200</v>
      </c>
      <c r="C106" s="2" t="s">
        <v>18</v>
      </c>
      <c r="D106" s="2">
        <f>SUM(Tabela34[[#This Row],[HP]:[mut FOOD]])+1</f>
        <v>779</v>
      </c>
      <c r="E106" s="1">
        <v>121</v>
      </c>
      <c r="F106" s="1"/>
      <c r="G106" s="1">
        <v>132</v>
      </c>
      <c r="H106" s="1"/>
      <c r="I106" s="1">
        <v>146</v>
      </c>
      <c r="J106" s="1"/>
      <c r="K106" s="1">
        <v>127</v>
      </c>
      <c r="L106" s="1"/>
      <c r="M106" s="1">
        <v>127</v>
      </c>
      <c r="N106" s="1"/>
      <c r="O106" s="1">
        <v>125</v>
      </c>
      <c r="P106" s="1"/>
      <c r="Q106" s="1"/>
      <c r="R106" s="1"/>
    </row>
    <row r="107" spans="1:19" ht="20.149999999999999" customHeight="1" x14ac:dyDescent="0.35">
      <c r="A107" s="1" t="s">
        <v>54</v>
      </c>
      <c r="B107" s="34">
        <v>13000</v>
      </c>
      <c r="C107" s="2" t="s">
        <v>17</v>
      </c>
      <c r="D107" s="2">
        <f>SUM(Tabela34[[#This Row],[HP]:[mut FOOD]])+1</f>
        <v>1216</v>
      </c>
      <c r="E107" s="1">
        <v>142</v>
      </c>
      <c r="F107" s="5">
        <v>98</v>
      </c>
      <c r="G107" s="1">
        <v>148</v>
      </c>
      <c r="H107" s="5">
        <v>98</v>
      </c>
      <c r="I107" s="1">
        <v>150</v>
      </c>
      <c r="J107" s="5">
        <v>98</v>
      </c>
      <c r="K107" s="1">
        <v>143</v>
      </c>
      <c r="L107" s="5">
        <v>98</v>
      </c>
      <c r="M107" s="1">
        <v>122</v>
      </c>
      <c r="O107" s="1">
        <v>118</v>
      </c>
      <c r="Q107" s="1"/>
      <c r="R107" s="1"/>
    </row>
    <row r="108" spans="1:19" ht="20.149999999999999" customHeight="1" x14ac:dyDescent="0.35">
      <c r="A108" s="1" t="s">
        <v>54</v>
      </c>
      <c r="B108" s="34">
        <v>15500</v>
      </c>
      <c r="C108" s="2" t="s">
        <v>17</v>
      </c>
      <c r="D108" s="2">
        <f>SUM(Tabela34[[#This Row],[HP]:[mut FOOD]])+1</f>
        <v>1464</v>
      </c>
      <c r="E108" s="1">
        <v>142</v>
      </c>
      <c r="F108" s="6">
        <v>160</v>
      </c>
      <c r="G108" s="1">
        <v>148</v>
      </c>
      <c r="H108" s="6">
        <v>160</v>
      </c>
      <c r="I108" s="1">
        <v>150</v>
      </c>
      <c r="J108" s="6">
        <v>160</v>
      </c>
      <c r="K108" s="1">
        <v>143</v>
      </c>
      <c r="L108" s="6">
        <v>160</v>
      </c>
      <c r="M108" s="1">
        <v>122</v>
      </c>
      <c r="N108" s="6"/>
      <c r="O108" s="1">
        <v>118</v>
      </c>
      <c r="P108" s="6"/>
      <c r="Q108" s="6" t="s">
        <v>16</v>
      </c>
      <c r="R108" s="1"/>
    </row>
    <row r="109" spans="1:19" ht="20.149999999999999" customHeight="1" x14ac:dyDescent="0.35">
      <c r="A109" s="1" t="s">
        <v>54</v>
      </c>
      <c r="B109" s="34">
        <v>18500</v>
      </c>
      <c r="C109" s="2" t="s">
        <v>17</v>
      </c>
      <c r="D109" s="2">
        <f>SUM(Tabela34[[#This Row],[HP]:[mut FOOD]])+1</f>
        <v>1844</v>
      </c>
      <c r="E109" s="1">
        <v>142</v>
      </c>
      <c r="F109" s="6">
        <v>255</v>
      </c>
      <c r="G109" s="1">
        <v>148</v>
      </c>
      <c r="H109" s="6">
        <v>255</v>
      </c>
      <c r="I109" s="1">
        <v>150</v>
      </c>
      <c r="J109" s="6">
        <v>255</v>
      </c>
      <c r="K109" s="1">
        <v>143</v>
      </c>
      <c r="L109" s="6">
        <v>255</v>
      </c>
      <c r="M109" s="1">
        <v>122</v>
      </c>
      <c r="N109" s="6"/>
      <c r="O109" s="1">
        <v>118</v>
      </c>
      <c r="P109" s="6"/>
      <c r="Q109" s="6" t="s">
        <v>16</v>
      </c>
      <c r="R109" s="1"/>
    </row>
    <row r="110" spans="1:19" ht="20.149999999999999" customHeight="1" x14ac:dyDescent="0.35">
      <c r="A110" s="10" t="s">
        <v>54</v>
      </c>
      <c r="B110" s="34">
        <v>6500</v>
      </c>
      <c r="C110" s="2" t="s">
        <v>17</v>
      </c>
      <c r="D110" s="2">
        <f>SUM(Tabela34[[#This Row],[HP]:[mut FOOD]])+1</f>
        <v>824</v>
      </c>
      <c r="E110" s="1">
        <v>142</v>
      </c>
      <c r="F110" s="1"/>
      <c r="G110" s="1">
        <v>148</v>
      </c>
      <c r="H110" s="1"/>
      <c r="I110" s="1">
        <v>150</v>
      </c>
      <c r="J110" s="1"/>
      <c r="K110" s="1">
        <v>143</v>
      </c>
      <c r="L110" s="1"/>
      <c r="M110" s="1">
        <v>122</v>
      </c>
      <c r="N110" s="1"/>
      <c r="O110" s="1">
        <v>118</v>
      </c>
      <c r="P110" s="1"/>
      <c r="Q110" s="1"/>
      <c r="R110" s="1"/>
    </row>
    <row r="111" spans="1:19" ht="18" customHeight="1" x14ac:dyDescent="0.35">
      <c r="A111" s="10" t="s">
        <v>136</v>
      </c>
      <c r="B111" s="34">
        <v>3550</v>
      </c>
      <c r="C111" s="2" t="s">
        <v>18</v>
      </c>
      <c r="D111" s="2">
        <f>SUM(Tabela34[[#This Row],[HP]:[mut FOOD]])+1</f>
        <v>741</v>
      </c>
      <c r="E111" s="1">
        <v>164</v>
      </c>
      <c r="F111" s="1"/>
      <c r="G111" s="1">
        <v>138</v>
      </c>
      <c r="H111" s="1"/>
      <c r="I111" s="1">
        <v>153</v>
      </c>
      <c r="J111" s="1"/>
      <c r="K111" s="1">
        <v>149</v>
      </c>
      <c r="L111" s="1"/>
      <c r="N111" s="1"/>
      <c r="O111" s="1">
        <v>136</v>
      </c>
      <c r="P111" s="1"/>
      <c r="Q111" s="1"/>
      <c r="R111" s="1"/>
    </row>
    <row r="112" spans="1:19" ht="18" customHeight="1" x14ac:dyDescent="0.35">
      <c r="A112" s="33" t="s">
        <v>159</v>
      </c>
      <c r="B112" s="34">
        <v>5500</v>
      </c>
      <c r="C112" s="33" t="s">
        <v>18</v>
      </c>
      <c r="D112" s="2">
        <f>SUM(Tabela34[[#This Row],[HP]:[mut FOOD]])+1</f>
        <v>740</v>
      </c>
      <c r="E112" s="1">
        <v>165</v>
      </c>
      <c r="G112" s="1">
        <v>127</v>
      </c>
      <c r="I112" s="1">
        <v>144</v>
      </c>
      <c r="K112" s="1">
        <v>166</v>
      </c>
      <c r="O112" s="1">
        <v>137</v>
      </c>
    </row>
    <row r="113" spans="1:19" ht="18" customHeight="1" x14ac:dyDescent="0.35">
      <c r="A113" s="10" t="s">
        <v>56</v>
      </c>
      <c r="B113" s="34">
        <v>850</v>
      </c>
      <c r="C113" s="2" t="s">
        <v>18</v>
      </c>
      <c r="D113" s="2">
        <f>SUM(Tabela34[[#This Row],[HP]:[mut FOOD]])+1</f>
        <v>726</v>
      </c>
      <c r="E113" s="1">
        <v>123</v>
      </c>
      <c r="F113" s="1"/>
      <c r="G113" s="1">
        <v>125</v>
      </c>
      <c r="H113" s="1"/>
      <c r="I113" s="1">
        <v>123</v>
      </c>
      <c r="J113" s="1"/>
      <c r="K113" s="1">
        <v>138</v>
      </c>
      <c r="L113" s="1"/>
      <c r="M113" s="1">
        <v>104</v>
      </c>
      <c r="N113" s="1"/>
      <c r="O113" s="1">
        <v>112</v>
      </c>
      <c r="P113" s="1"/>
      <c r="Q113" s="1"/>
      <c r="R113" s="1"/>
    </row>
    <row r="114" spans="1:19" ht="18" customHeight="1" x14ac:dyDescent="0.35">
      <c r="A114" s="10" t="s">
        <v>57</v>
      </c>
      <c r="B114" s="34">
        <v>8500</v>
      </c>
      <c r="C114" s="2" t="s">
        <v>22</v>
      </c>
      <c r="D114" s="2">
        <f>SUM(Tabela34[[#This Row],[HP]:[mut FOOD]])+1</f>
        <v>803</v>
      </c>
      <c r="E114" s="1">
        <v>163</v>
      </c>
      <c r="F114" s="1"/>
      <c r="G114" s="1">
        <v>161</v>
      </c>
      <c r="H114" s="1"/>
      <c r="I114" s="1">
        <v>167</v>
      </c>
      <c r="J114" s="1"/>
      <c r="K114" s="1">
        <v>169</v>
      </c>
      <c r="L114" s="1"/>
      <c r="N114" s="1"/>
      <c r="O114" s="1">
        <v>142</v>
      </c>
      <c r="P114" s="1"/>
      <c r="Q114" s="1"/>
      <c r="R114" s="1"/>
      <c r="S114" s="1" t="s">
        <v>101</v>
      </c>
    </row>
    <row r="115" spans="1:19" ht="18" customHeight="1" x14ac:dyDescent="0.35">
      <c r="A115" s="10" t="s">
        <v>111</v>
      </c>
      <c r="B115" s="34">
        <v>2700</v>
      </c>
      <c r="C115" s="2" t="s">
        <v>17</v>
      </c>
      <c r="D115" s="2">
        <f>SUM(Tabela34[[#This Row],[HP]:[mut FOOD]])+1</f>
        <v>779</v>
      </c>
      <c r="E115" s="1">
        <v>132</v>
      </c>
      <c r="F115" s="1"/>
      <c r="G115" s="1">
        <v>134</v>
      </c>
      <c r="H115" s="1"/>
      <c r="I115" s="1">
        <v>134</v>
      </c>
      <c r="J115" s="1"/>
      <c r="K115" s="1">
        <v>136</v>
      </c>
      <c r="L115" s="1"/>
      <c r="M115" s="1">
        <v>127</v>
      </c>
      <c r="N115" s="1"/>
      <c r="O115" s="1">
        <v>115</v>
      </c>
      <c r="P115" s="1"/>
      <c r="Q115" s="1"/>
      <c r="R115" s="1"/>
    </row>
    <row r="116" spans="1:19" ht="18" customHeight="1" x14ac:dyDescent="0.35">
      <c r="A116" s="10" t="s">
        <v>123</v>
      </c>
      <c r="B116" s="34">
        <v>8500</v>
      </c>
      <c r="C116" s="2" t="s">
        <v>22</v>
      </c>
      <c r="D116" s="2">
        <f>SUM(Tabela34[[#This Row],[HP]:[mut FOOD]])+1</f>
        <v>767</v>
      </c>
      <c r="E116" s="1">
        <v>138</v>
      </c>
      <c r="F116" s="1"/>
      <c r="G116" s="1">
        <v>104</v>
      </c>
      <c r="H116" s="1"/>
      <c r="I116" s="1">
        <v>149</v>
      </c>
      <c r="J116" s="1"/>
      <c r="K116" s="1">
        <v>137</v>
      </c>
      <c r="L116" s="1"/>
      <c r="M116" s="1">
        <v>124</v>
      </c>
      <c r="N116" s="1"/>
      <c r="O116" s="1">
        <v>114</v>
      </c>
      <c r="P116" s="1"/>
      <c r="Q116" s="1"/>
      <c r="R116" s="1"/>
    </row>
    <row r="117" spans="1:19" ht="18" customHeight="1" x14ac:dyDescent="0.35">
      <c r="A117" s="10" t="s">
        <v>110</v>
      </c>
      <c r="B117" s="34">
        <v>5500</v>
      </c>
      <c r="C117" s="2" t="s">
        <v>19</v>
      </c>
      <c r="D117" s="2">
        <f>SUM(Tabela34[[#This Row],[HP]:[mut FOOD]])+1</f>
        <v>822</v>
      </c>
      <c r="E117" s="1">
        <v>148</v>
      </c>
      <c r="F117" s="1"/>
      <c r="G117" s="1">
        <v>143</v>
      </c>
      <c r="H117" s="1"/>
      <c r="I117" s="1">
        <v>139</v>
      </c>
      <c r="J117" s="1"/>
      <c r="K117" s="1">
        <v>140</v>
      </c>
      <c r="L117" s="1"/>
      <c r="M117" s="1">
        <v>127</v>
      </c>
      <c r="N117" s="1"/>
      <c r="O117" s="1">
        <v>124</v>
      </c>
      <c r="P117" s="1"/>
      <c r="Q117" s="1"/>
      <c r="R117" s="1"/>
      <c r="S117" s="1" t="s">
        <v>101</v>
      </c>
    </row>
    <row r="118" spans="1:19" ht="18" customHeight="1" x14ac:dyDescent="0.35">
      <c r="A118" s="10" t="s">
        <v>59</v>
      </c>
      <c r="B118" s="34">
        <v>2500</v>
      </c>
      <c r="C118" s="2" t="s">
        <v>22</v>
      </c>
      <c r="D118" s="2">
        <f>SUM(Tabela34[[#This Row],[HP]:[mut FOOD]])+1</f>
        <v>801</v>
      </c>
      <c r="E118" s="1">
        <v>141</v>
      </c>
      <c r="F118" s="1"/>
      <c r="G118" s="1">
        <v>142</v>
      </c>
      <c r="H118" s="1"/>
      <c r="I118" s="1">
        <v>133</v>
      </c>
      <c r="J118" s="1"/>
      <c r="K118" s="1">
        <v>148</v>
      </c>
      <c r="L118" s="1"/>
      <c r="M118" s="1">
        <v>125</v>
      </c>
      <c r="N118" s="1"/>
      <c r="O118" s="1">
        <v>111</v>
      </c>
      <c r="P118" s="1"/>
      <c r="Q118" s="1"/>
      <c r="R118" s="1"/>
      <c r="S118" s="1" t="s">
        <v>101</v>
      </c>
    </row>
    <row r="119" spans="1:19" ht="18" customHeight="1" x14ac:dyDescent="0.35">
      <c r="A119" s="10" t="s">
        <v>60</v>
      </c>
      <c r="B119" s="34">
        <v>6300</v>
      </c>
      <c r="C119" s="2" t="s">
        <v>19</v>
      </c>
      <c r="D119" s="2">
        <f>SUM(Tabela34[[#This Row],[HP]:[mut FOOD]])+1</f>
        <v>771</v>
      </c>
      <c r="E119" s="1">
        <v>134</v>
      </c>
      <c r="F119" s="1"/>
      <c r="G119" s="1">
        <v>134</v>
      </c>
      <c r="H119" s="1"/>
      <c r="I119" s="1">
        <v>135</v>
      </c>
      <c r="J119" s="1"/>
      <c r="K119" s="1">
        <v>139</v>
      </c>
      <c r="L119" s="1"/>
      <c r="M119" s="1">
        <v>110</v>
      </c>
      <c r="N119" s="1"/>
      <c r="O119" s="1">
        <v>118</v>
      </c>
      <c r="P119" s="1"/>
      <c r="Q119" s="1"/>
      <c r="R119" s="1"/>
      <c r="S119" s="1" t="s">
        <v>101</v>
      </c>
    </row>
    <row r="120" spans="1:19" ht="18" customHeight="1" x14ac:dyDescent="0.35">
      <c r="A120" s="10" t="s">
        <v>93</v>
      </c>
      <c r="B120" s="34">
        <v>7600</v>
      </c>
      <c r="C120" s="2" t="s">
        <v>19</v>
      </c>
      <c r="D120" s="2">
        <f>SUM(Tabela34[[#This Row],[HP]:[mut FOOD]])+1</f>
        <v>738</v>
      </c>
      <c r="E120" s="1">
        <v>125</v>
      </c>
      <c r="F120" s="1"/>
      <c r="G120" s="1">
        <v>132</v>
      </c>
      <c r="H120" s="1"/>
      <c r="I120" s="1">
        <v>108</v>
      </c>
      <c r="J120" s="1"/>
      <c r="K120" s="1">
        <v>131</v>
      </c>
      <c r="L120" s="1"/>
      <c r="M120" s="1">
        <v>122</v>
      </c>
      <c r="N120" s="1"/>
      <c r="O120" s="1">
        <v>119</v>
      </c>
      <c r="P120" s="1"/>
      <c r="Q120" s="1"/>
      <c r="R120" s="1"/>
      <c r="S120" s="1" t="s">
        <v>101</v>
      </c>
    </row>
    <row r="121" spans="1:19" ht="18" customHeight="1" x14ac:dyDescent="0.35">
      <c r="A121" s="1" t="s">
        <v>61</v>
      </c>
      <c r="B121" s="34">
        <v>7000</v>
      </c>
      <c r="C121" s="2" t="s">
        <v>22</v>
      </c>
      <c r="D121" s="2">
        <f>SUM(Tabela34[[#This Row],[HP]:[mut FOOD]])+1</f>
        <v>971</v>
      </c>
      <c r="E121" s="1">
        <v>137</v>
      </c>
      <c r="F121" s="5">
        <v>98</v>
      </c>
      <c r="G121" s="1">
        <v>133</v>
      </c>
      <c r="I121" s="1">
        <v>136</v>
      </c>
      <c r="K121" s="1">
        <v>144</v>
      </c>
      <c r="L121" s="5">
        <v>98</v>
      </c>
      <c r="M121" s="1">
        <v>106</v>
      </c>
      <c r="O121" s="1">
        <v>118</v>
      </c>
      <c r="Q121" s="1"/>
      <c r="R121" s="1"/>
    </row>
    <row r="122" spans="1:19" ht="18" customHeight="1" x14ac:dyDescent="0.35">
      <c r="A122" s="1" t="s">
        <v>61</v>
      </c>
      <c r="B122" s="34">
        <v>7500</v>
      </c>
      <c r="C122" s="2" t="s">
        <v>22</v>
      </c>
      <c r="D122" s="2">
        <f>SUM(Tabela34[[#This Row],[HP]:[mut FOOD]])+1</f>
        <v>1095</v>
      </c>
      <c r="E122" s="1">
        <v>137</v>
      </c>
      <c r="F122" s="6">
        <v>160</v>
      </c>
      <c r="G122" s="1">
        <v>133</v>
      </c>
      <c r="H122" s="6"/>
      <c r="I122" s="1">
        <v>136</v>
      </c>
      <c r="J122" s="6"/>
      <c r="K122" s="1">
        <v>144</v>
      </c>
      <c r="L122" s="6">
        <v>160</v>
      </c>
      <c r="M122" s="1">
        <v>106</v>
      </c>
      <c r="N122" s="6"/>
      <c r="O122" s="1">
        <v>118</v>
      </c>
      <c r="P122" s="6"/>
      <c r="Q122" s="6" t="s">
        <v>16</v>
      </c>
      <c r="R122" s="1"/>
    </row>
    <row r="123" spans="1:19" ht="18" customHeight="1" x14ac:dyDescent="0.35">
      <c r="A123" s="1" t="s">
        <v>61</v>
      </c>
      <c r="B123" s="34">
        <v>8000</v>
      </c>
      <c r="C123" s="2" t="s">
        <v>22</v>
      </c>
      <c r="D123" s="2">
        <f>SUM(Tabela34[[#This Row],[HP]:[mut FOOD]])+1</f>
        <v>1285</v>
      </c>
      <c r="E123" s="1">
        <v>137</v>
      </c>
      <c r="F123" s="6">
        <v>255</v>
      </c>
      <c r="G123" s="1">
        <v>133</v>
      </c>
      <c r="H123" s="6"/>
      <c r="I123" s="1">
        <v>136</v>
      </c>
      <c r="J123" s="6"/>
      <c r="K123" s="1">
        <v>144</v>
      </c>
      <c r="L123" s="6">
        <v>255</v>
      </c>
      <c r="M123" s="1">
        <v>106</v>
      </c>
      <c r="N123" s="6"/>
      <c r="O123" s="1">
        <v>118</v>
      </c>
      <c r="P123" s="6"/>
      <c r="Q123" s="6" t="s">
        <v>16</v>
      </c>
      <c r="R123" s="1"/>
    </row>
    <row r="124" spans="1:19" ht="18" customHeight="1" x14ac:dyDescent="0.35">
      <c r="A124" s="1" t="s">
        <v>61</v>
      </c>
      <c r="B124" s="34">
        <v>12000</v>
      </c>
      <c r="C124" s="2" t="s">
        <v>22</v>
      </c>
      <c r="D124" s="2">
        <f>SUM(Tabela34[[#This Row],[HP]:[mut FOOD]])+1</f>
        <v>1795</v>
      </c>
      <c r="E124" s="1">
        <v>137</v>
      </c>
      <c r="F124" s="6">
        <v>255</v>
      </c>
      <c r="G124" s="1">
        <v>133</v>
      </c>
      <c r="H124" s="6">
        <v>255</v>
      </c>
      <c r="I124" s="1">
        <v>136</v>
      </c>
      <c r="J124" s="6">
        <v>255</v>
      </c>
      <c r="K124" s="1">
        <v>144</v>
      </c>
      <c r="L124" s="6">
        <v>255</v>
      </c>
      <c r="M124" s="1">
        <v>106</v>
      </c>
      <c r="N124" s="6"/>
      <c r="O124" s="1">
        <v>118</v>
      </c>
      <c r="P124" s="6"/>
      <c r="Q124" s="6" t="s">
        <v>16</v>
      </c>
      <c r="R124" s="1"/>
    </row>
    <row r="125" spans="1:19" ht="18" customHeight="1" x14ac:dyDescent="0.35">
      <c r="A125" s="10" t="s">
        <v>61</v>
      </c>
      <c r="B125" s="34">
        <v>3700</v>
      </c>
      <c r="C125" s="2" t="s">
        <v>22</v>
      </c>
      <c r="D125" s="2">
        <f>SUM(Tabela34[[#This Row],[HP]:[mut FOOD]])+1</f>
        <v>775</v>
      </c>
      <c r="E125" s="1">
        <v>137</v>
      </c>
      <c r="F125" s="1"/>
      <c r="G125" s="1">
        <v>133</v>
      </c>
      <c r="H125" s="1"/>
      <c r="I125" s="1">
        <v>136</v>
      </c>
      <c r="J125" s="1"/>
      <c r="K125" s="1">
        <v>144</v>
      </c>
      <c r="L125" s="1"/>
      <c r="M125" s="1">
        <v>106</v>
      </c>
      <c r="N125" s="1"/>
      <c r="O125" s="1">
        <v>118</v>
      </c>
      <c r="P125" s="1"/>
      <c r="Q125" s="1"/>
      <c r="R125" s="1"/>
      <c r="S125" s="1" t="s">
        <v>101</v>
      </c>
    </row>
    <row r="126" spans="1:19" ht="18" customHeight="1" x14ac:dyDescent="0.35">
      <c r="A126" s="10" t="s">
        <v>62</v>
      </c>
      <c r="B126" s="34">
        <v>2600</v>
      </c>
      <c r="C126" s="2" t="s">
        <v>22</v>
      </c>
      <c r="D126" s="2">
        <f>SUM(Tabela34[[#This Row],[HP]:[mut FOOD]])+1</f>
        <v>791</v>
      </c>
      <c r="E126" s="1">
        <v>131</v>
      </c>
      <c r="F126" s="1"/>
      <c r="G126" s="1">
        <v>137</v>
      </c>
      <c r="H126" s="1"/>
      <c r="I126" s="1">
        <v>141</v>
      </c>
      <c r="J126" s="1"/>
      <c r="K126" s="1">
        <v>133</v>
      </c>
      <c r="L126" s="1"/>
      <c r="M126" s="1">
        <v>119</v>
      </c>
      <c r="N126" s="1"/>
      <c r="O126" s="1">
        <v>129</v>
      </c>
      <c r="P126" s="1"/>
      <c r="Q126" s="1"/>
      <c r="R126" s="1"/>
      <c r="S126" s="1" t="s">
        <v>101</v>
      </c>
    </row>
    <row r="127" spans="1:19" ht="20.149999999999999" customHeight="1" x14ac:dyDescent="0.35">
      <c r="A127" s="10" t="s">
        <v>137</v>
      </c>
      <c r="B127" s="34">
        <v>5000</v>
      </c>
      <c r="C127" s="2" t="s">
        <v>19</v>
      </c>
      <c r="D127" s="2">
        <f>SUM(Tabela34[[#This Row],[HP]:[mut FOOD]])+1</f>
        <v>839</v>
      </c>
      <c r="E127" s="1">
        <v>148</v>
      </c>
      <c r="F127" s="1"/>
      <c r="G127" s="1">
        <v>153</v>
      </c>
      <c r="H127" s="1"/>
      <c r="I127" s="1">
        <v>149</v>
      </c>
      <c r="J127" s="1"/>
      <c r="K127" s="1">
        <v>144</v>
      </c>
      <c r="L127" s="1"/>
      <c r="M127" s="1">
        <v>127</v>
      </c>
      <c r="N127" s="1"/>
      <c r="O127" s="1">
        <v>117</v>
      </c>
      <c r="P127" s="1"/>
      <c r="Q127" s="1"/>
      <c r="R127" s="1"/>
      <c r="S127" s="1" t="s">
        <v>101</v>
      </c>
    </row>
    <row r="128" spans="1:19" ht="18" customHeight="1" x14ac:dyDescent="0.35">
      <c r="A128" s="1" t="s">
        <v>63</v>
      </c>
      <c r="B128" s="34">
        <v>18000</v>
      </c>
      <c r="C128" s="2" t="s">
        <v>19</v>
      </c>
      <c r="D128" s="2">
        <f>SUM(Tabela34[[#This Row],[HP]:[mut FOOD]])+1</f>
        <v>1218</v>
      </c>
      <c r="E128" s="1">
        <v>140</v>
      </c>
      <c r="F128" s="5">
        <v>98</v>
      </c>
      <c r="G128" s="1">
        <v>144</v>
      </c>
      <c r="H128" s="5">
        <v>98</v>
      </c>
      <c r="I128" s="1">
        <v>140</v>
      </c>
      <c r="J128" s="5">
        <v>98</v>
      </c>
      <c r="K128" s="1">
        <v>140</v>
      </c>
      <c r="L128" s="5">
        <v>98</v>
      </c>
      <c r="M128" s="1">
        <v>144</v>
      </c>
      <c r="O128" s="1">
        <v>117</v>
      </c>
      <c r="Q128" s="1"/>
      <c r="R128" s="1"/>
    </row>
    <row r="129" spans="1:19" ht="20.149999999999999" customHeight="1" x14ac:dyDescent="0.35">
      <c r="A129" s="1" t="s">
        <v>63</v>
      </c>
      <c r="B129" s="34">
        <v>26000</v>
      </c>
      <c r="C129" s="2" t="s">
        <v>19</v>
      </c>
      <c r="D129" s="2">
        <f>SUM(Tabela34[[#This Row],[HP]:[mut FOOD]])+1</f>
        <v>1846</v>
      </c>
      <c r="E129" s="1">
        <v>140</v>
      </c>
      <c r="F129" s="6">
        <v>255</v>
      </c>
      <c r="G129" s="1">
        <v>144</v>
      </c>
      <c r="H129" s="6">
        <v>255</v>
      </c>
      <c r="I129" s="1">
        <v>140</v>
      </c>
      <c r="J129" s="6">
        <v>255</v>
      </c>
      <c r="K129" s="1">
        <v>140</v>
      </c>
      <c r="L129" s="6">
        <v>255</v>
      </c>
      <c r="M129" s="1">
        <v>144</v>
      </c>
      <c r="N129" s="6"/>
      <c r="O129" s="1">
        <v>117</v>
      </c>
      <c r="P129" s="6"/>
      <c r="Q129" s="6" t="s">
        <v>16</v>
      </c>
      <c r="R129" s="1"/>
    </row>
    <row r="130" spans="1:19" ht="20.149999999999999" customHeight="1" x14ac:dyDescent="0.35">
      <c r="A130" s="10" t="s">
        <v>63</v>
      </c>
      <c r="B130" s="34">
        <v>8500</v>
      </c>
      <c r="C130" s="2" t="s">
        <v>19</v>
      </c>
      <c r="D130" s="2">
        <f>SUM(Tabela34[[#This Row],[HP]:[mut FOOD]])+1</f>
        <v>826</v>
      </c>
      <c r="E130" s="1">
        <v>140</v>
      </c>
      <c r="F130" s="1"/>
      <c r="G130" s="1">
        <v>144</v>
      </c>
      <c r="H130" s="1"/>
      <c r="I130" s="1">
        <v>140</v>
      </c>
      <c r="J130" s="1"/>
      <c r="K130" s="1">
        <v>140</v>
      </c>
      <c r="L130" s="1"/>
      <c r="M130" s="1">
        <v>144</v>
      </c>
      <c r="N130" s="1"/>
      <c r="O130" s="1">
        <v>117</v>
      </c>
      <c r="P130" s="1"/>
      <c r="Q130" s="1"/>
      <c r="R130" s="1"/>
      <c r="S130" s="1" t="s">
        <v>101</v>
      </c>
    </row>
    <row r="131" spans="1:19" ht="20.149999999999999" customHeight="1" x14ac:dyDescent="0.35">
      <c r="A131" s="1" t="s">
        <v>64</v>
      </c>
      <c r="B131" s="34">
        <v>12500</v>
      </c>
      <c r="C131" s="2" t="s">
        <v>19</v>
      </c>
      <c r="D131" s="2">
        <f>SUM(Tabela34[[#This Row],[HP]:[mut FOOD]])+1</f>
        <v>1213</v>
      </c>
      <c r="E131" s="1">
        <v>134</v>
      </c>
      <c r="F131" s="5">
        <v>98</v>
      </c>
      <c r="G131" s="1">
        <v>149</v>
      </c>
      <c r="H131" s="5">
        <v>98</v>
      </c>
      <c r="I131" s="1">
        <v>146</v>
      </c>
      <c r="J131" s="5">
        <v>98</v>
      </c>
      <c r="K131" s="1">
        <v>135</v>
      </c>
      <c r="L131" s="5">
        <v>98</v>
      </c>
      <c r="M131" s="1">
        <v>120</v>
      </c>
      <c r="O131" s="1">
        <v>136</v>
      </c>
      <c r="Q131" s="1"/>
      <c r="R131" s="1"/>
    </row>
    <row r="132" spans="1:19" ht="20.149999999999999" customHeight="1" x14ac:dyDescent="0.35">
      <c r="A132" s="1" t="s">
        <v>64</v>
      </c>
      <c r="B132" s="34">
        <v>14500</v>
      </c>
      <c r="C132" s="2" t="s">
        <v>19</v>
      </c>
      <c r="D132" s="2">
        <f>SUM(Tabela34[[#This Row],[HP]:[mut FOOD]])+1</f>
        <v>1469</v>
      </c>
      <c r="E132" s="1">
        <v>134</v>
      </c>
      <c r="F132" s="6">
        <v>162</v>
      </c>
      <c r="G132" s="1">
        <v>149</v>
      </c>
      <c r="H132" s="6">
        <v>162</v>
      </c>
      <c r="I132" s="1">
        <v>146</v>
      </c>
      <c r="J132" s="6">
        <v>162</v>
      </c>
      <c r="K132" s="1">
        <v>135</v>
      </c>
      <c r="L132" s="6">
        <v>162</v>
      </c>
      <c r="M132" s="1">
        <v>120</v>
      </c>
      <c r="N132" s="6"/>
      <c r="O132" s="1">
        <v>136</v>
      </c>
      <c r="P132" s="6"/>
      <c r="Q132" s="6" t="s">
        <v>16</v>
      </c>
      <c r="R132" s="1"/>
    </row>
    <row r="133" spans="1:19" ht="20.149999999999999" customHeight="1" x14ac:dyDescent="0.35">
      <c r="A133" s="1" t="s">
        <v>64</v>
      </c>
      <c r="B133" s="34">
        <v>17500</v>
      </c>
      <c r="C133" s="2" t="s">
        <v>19</v>
      </c>
      <c r="D133" s="2">
        <f>SUM(Tabela34[[#This Row],[HP]:[mut FOOD]])+1</f>
        <v>1841</v>
      </c>
      <c r="E133" s="1">
        <v>134</v>
      </c>
      <c r="F133" s="6">
        <v>255</v>
      </c>
      <c r="G133" s="1">
        <v>149</v>
      </c>
      <c r="H133" s="6">
        <v>255</v>
      </c>
      <c r="I133" s="1">
        <v>146</v>
      </c>
      <c r="J133" s="6">
        <v>255</v>
      </c>
      <c r="K133" s="1">
        <v>135</v>
      </c>
      <c r="L133" s="6">
        <v>255</v>
      </c>
      <c r="M133" s="1">
        <v>120</v>
      </c>
      <c r="N133" s="6"/>
      <c r="O133" s="1">
        <v>136</v>
      </c>
      <c r="P133" s="6"/>
      <c r="Q133" s="6" t="s">
        <v>16</v>
      </c>
      <c r="R133" s="1"/>
    </row>
    <row r="134" spans="1:19" ht="20.149999999999999" customHeight="1" x14ac:dyDescent="0.35">
      <c r="A134" s="10" t="s">
        <v>64</v>
      </c>
      <c r="B134" s="34">
        <v>6000</v>
      </c>
      <c r="C134" s="2" t="s">
        <v>19</v>
      </c>
      <c r="D134" s="2">
        <f>SUM(Tabela34[[#This Row],[HP]:[mut FOOD]])+1</f>
        <v>821</v>
      </c>
      <c r="E134" s="1">
        <v>134</v>
      </c>
      <c r="F134" s="1"/>
      <c r="G134" s="1">
        <v>149</v>
      </c>
      <c r="H134" s="1"/>
      <c r="I134" s="1">
        <v>146</v>
      </c>
      <c r="J134" s="1"/>
      <c r="K134" s="1">
        <v>135</v>
      </c>
      <c r="L134" s="1"/>
      <c r="M134" s="1">
        <v>120</v>
      </c>
      <c r="N134" s="1"/>
      <c r="O134" s="1">
        <v>136</v>
      </c>
      <c r="P134" s="1"/>
      <c r="Q134" s="1"/>
      <c r="R134" s="1"/>
    </row>
    <row r="135" spans="1:19" ht="20.149999999999999" customHeight="1" x14ac:dyDescent="0.35">
      <c r="A135" s="10" t="s">
        <v>65</v>
      </c>
      <c r="B135" s="34">
        <v>3600</v>
      </c>
      <c r="C135" s="2" t="s">
        <v>22</v>
      </c>
      <c r="D135" s="2">
        <f>SUM(Tabela34[[#This Row],[HP]:[mut FOOD]])+1</f>
        <v>783</v>
      </c>
      <c r="E135" s="1">
        <v>132</v>
      </c>
      <c r="F135" s="1"/>
      <c r="G135" s="1">
        <v>137</v>
      </c>
      <c r="H135" s="1"/>
      <c r="I135" s="1">
        <v>134</v>
      </c>
      <c r="J135" s="1"/>
      <c r="K135" s="1">
        <v>135</v>
      </c>
      <c r="L135" s="1"/>
      <c r="M135" s="1">
        <v>124</v>
      </c>
      <c r="N135" s="1"/>
      <c r="O135" s="1">
        <v>120</v>
      </c>
      <c r="P135" s="1"/>
      <c r="Q135" s="1"/>
      <c r="R135" s="1"/>
      <c r="S135" s="1" t="s">
        <v>101</v>
      </c>
    </row>
    <row r="136" spans="1:19" ht="20.149999999999999" customHeight="1" x14ac:dyDescent="0.35">
      <c r="A136" s="10" t="s">
        <v>138</v>
      </c>
      <c r="B136" s="34">
        <v>1200</v>
      </c>
      <c r="C136" s="2" t="s">
        <v>18</v>
      </c>
      <c r="D136" s="2">
        <f>SUM(Tabela34[[#This Row],[HP]:[mut FOOD]])+1</f>
        <v>700</v>
      </c>
      <c r="E136" s="1">
        <v>120</v>
      </c>
      <c r="F136" s="1"/>
      <c r="G136" s="1">
        <v>114</v>
      </c>
      <c r="H136" s="1"/>
      <c r="I136" s="1">
        <v>114</v>
      </c>
      <c r="J136" s="1"/>
      <c r="K136" s="1">
        <v>130</v>
      </c>
      <c r="L136" s="1"/>
      <c r="M136" s="1">
        <v>112</v>
      </c>
      <c r="N136" s="1"/>
      <c r="O136" s="1">
        <v>109</v>
      </c>
      <c r="P136" s="1"/>
      <c r="Q136" s="1"/>
      <c r="R136" s="1"/>
    </row>
    <row r="137" spans="1:19" ht="20.149999999999999" customHeight="1" x14ac:dyDescent="0.35">
      <c r="A137" s="10" t="s">
        <v>144</v>
      </c>
      <c r="B137" s="34">
        <v>7600</v>
      </c>
      <c r="C137" s="2" t="s">
        <v>25</v>
      </c>
      <c r="D137" s="2">
        <f>SUM(Tabela34[[#This Row],[HP]:[mut FOOD]])+1</f>
        <v>752</v>
      </c>
      <c r="E137" s="1">
        <v>148</v>
      </c>
      <c r="F137" s="1"/>
      <c r="G137" s="1">
        <v>148</v>
      </c>
      <c r="H137" s="1"/>
      <c r="I137" s="1">
        <v>144</v>
      </c>
      <c r="J137" s="1"/>
      <c r="K137" s="1">
        <v>153</v>
      </c>
      <c r="L137" s="1"/>
      <c r="N137" s="1"/>
      <c r="O137" s="1">
        <v>158</v>
      </c>
      <c r="P137" s="1"/>
      <c r="Q137" s="1"/>
      <c r="R137" s="1"/>
      <c r="S137" s="1" t="s">
        <v>101</v>
      </c>
    </row>
    <row r="138" spans="1:19" ht="20.149999999999999" customHeight="1" x14ac:dyDescent="0.35">
      <c r="A138" s="10" t="s">
        <v>139</v>
      </c>
      <c r="B138" s="34">
        <v>1400</v>
      </c>
      <c r="C138" s="2" t="s">
        <v>22</v>
      </c>
      <c r="D138" s="2">
        <f>SUM(Tabela34[[#This Row],[HP]:[mut FOOD]])+1</f>
        <v>844</v>
      </c>
      <c r="E138" s="1">
        <v>144</v>
      </c>
      <c r="F138" s="1"/>
      <c r="G138" s="1">
        <v>145</v>
      </c>
      <c r="H138" s="1"/>
      <c r="I138" s="1">
        <v>144</v>
      </c>
      <c r="J138" s="1"/>
      <c r="K138" s="1">
        <v>143</v>
      </c>
      <c r="L138" s="1"/>
      <c r="M138" s="1">
        <v>151</v>
      </c>
      <c r="N138" s="1"/>
      <c r="O138" s="1">
        <v>116</v>
      </c>
      <c r="P138" s="1"/>
      <c r="Q138" s="1"/>
      <c r="R138" s="1"/>
    </row>
    <row r="139" spans="1:19" ht="20.149999999999999" customHeight="1" x14ac:dyDescent="0.35">
      <c r="A139" s="1" t="s">
        <v>69</v>
      </c>
      <c r="B139" s="34">
        <v>22000</v>
      </c>
      <c r="C139" s="2" t="s">
        <v>19</v>
      </c>
      <c r="D139" s="2">
        <f>SUM(Tabela34[[#This Row],[HP]:[mut FOOD]])+1</f>
        <v>1201</v>
      </c>
      <c r="E139" s="1">
        <v>144</v>
      </c>
      <c r="F139" s="5">
        <v>98</v>
      </c>
      <c r="G139" s="1">
        <v>136</v>
      </c>
      <c r="H139" s="5">
        <v>98</v>
      </c>
      <c r="I139" s="1">
        <v>142</v>
      </c>
      <c r="J139" s="5">
        <v>98</v>
      </c>
      <c r="K139" s="1">
        <v>153</v>
      </c>
      <c r="L139" s="5">
        <v>98</v>
      </c>
      <c r="M139" s="1">
        <v>111</v>
      </c>
      <c r="O139" s="1">
        <v>122</v>
      </c>
      <c r="Q139" s="1"/>
      <c r="R139" s="1" t="s">
        <v>98</v>
      </c>
    </row>
    <row r="140" spans="1:19" ht="20.149999999999999" customHeight="1" x14ac:dyDescent="0.35">
      <c r="A140" s="1" t="s">
        <v>69</v>
      </c>
      <c r="B140" s="34">
        <v>28000</v>
      </c>
      <c r="C140" s="2" t="s">
        <v>19</v>
      </c>
      <c r="D140" s="2">
        <f>SUM(Tabela34[[#This Row],[HP]:[mut FOOD]])+1</f>
        <v>1397</v>
      </c>
      <c r="E140" s="1">
        <v>144</v>
      </c>
      <c r="F140" s="5">
        <v>98</v>
      </c>
      <c r="G140" s="1">
        <v>136</v>
      </c>
      <c r="H140" s="5">
        <v>98</v>
      </c>
      <c r="I140" s="1">
        <v>142</v>
      </c>
      <c r="J140" s="5">
        <v>98</v>
      </c>
      <c r="K140" s="1">
        <v>153</v>
      </c>
      <c r="L140" s="5">
        <v>98</v>
      </c>
      <c r="M140" s="1">
        <v>111</v>
      </c>
      <c r="N140" s="5">
        <v>98</v>
      </c>
      <c r="O140" s="1">
        <v>122</v>
      </c>
      <c r="P140" s="5">
        <v>98</v>
      </c>
      <c r="Q140" s="1"/>
      <c r="R140" s="1" t="s">
        <v>98</v>
      </c>
    </row>
    <row r="141" spans="1:19" ht="18" customHeight="1" x14ac:dyDescent="0.35">
      <c r="A141" s="1" t="s">
        <v>69</v>
      </c>
      <c r="B141" s="34">
        <v>32000</v>
      </c>
      <c r="C141" s="2" t="s">
        <v>19</v>
      </c>
      <c r="D141" s="2">
        <f>SUM(Tabela34[[#This Row],[HP]:[mut FOOD]])+1</f>
        <v>1829</v>
      </c>
      <c r="E141" s="1">
        <v>144</v>
      </c>
      <c r="F141" s="6">
        <v>255</v>
      </c>
      <c r="G141" s="1">
        <v>136</v>
      </c>
      <c r="H141" s="6">
        <v>255</v>
      </c>
      <c r="I141" s="1">
        <v>142</v>
      </c>
      <c r="J141" s="6">
        <v>255</v>
      </c>
      <c r="K141" s="1">
        <v>153</v>
      </c>
      <c r="L141" s="6">
        <v>255</v>
      </c>
      <c r="M141" s="1">
        <v>111</v>
      </c>
      <c r="N141" s="6"/>
      <c r="O141" s="1">
        <v>122</v>
      </c>
      <c r="P141" s="6"/>
      <c r="Q141" s="6" t="s">
        <v>16</v>
      </c>
      <c r="R141" s="1" t="s">
        <v>98</v>
      </c>
    </row>
    <row r="142" spans="1:19" ht="18" customHeight="1" x14ac:dyDescent="0.35">
      <c r="A142" s="1" t="s">
        <v>69</v>
      </c>
      <c r="B142" s="34">
        <v>42500</v>
      </c>
      <c r="C142" s="2" t="s">
        <v>19</v>
      </c>
      <c r="D142" s="2">
        <f>SUM(Tabela34[[#This Row],[HP]:[mut FOOD]])+1</f>
        <v>2339</v>
      </c>
      <c r="E142" s="1">
        <v>144</v>
      </c>
      <c r="F142" s="6">
        <v>255</v>
      </c>
      <c r="G142" s="1">
        <v>136</v>
      </c>
      <c r="H142" s="6">
        <v>255</v>
      </c>
      <c r="I142" s="1">
        <v>142</v>
      </c>
      <c r="J142" s="6">
        <v>255</v>
      </c>
      <c r="K142" s="1">
        <v>153</v>
      </c>
      <c r="L142" s="6">
        <v>255</v>
      </c>
      <c r="M142" s="1">
        <v>111</v>
      </c>
      <c r="N142" s="6">
        <v>255</v>
      </c>
      <c r="O142" s="1">
        <v>122</v>
      </c>
      <c r="P142" s="6">
        <v>255</v>
      </c>
      <c r="Q142" s="6" t="s">
        <v>16</v>
      </c>
      <c r="R142" s="1" t="s">
        <v>98</v>
      </c>
    </row>
    <row r="143" spans="1:19" ht="18" customHeight="1" x14ac:dyDescent="0.35">
      <c r="A143" s="10" t="s">
        <v>69</v>
      </c>
      <c r="B143" s="34">
        <v>10500</v>
      </c>
      <c r="C143" s="2" t="s">
        <v>19</v>
      </c>
      <c r="D143" s="2">
        <f>SUM(Tabela34[[#This Row],[HP]:[mut FOOD]])+1</f>
        <v>809</v>
      </c>
      <c r="E143" s="1">
        <v>144</v>
      </c>
      <c r="F143" s="1"/>
      <c r="G143" s="1">
        <v>136</v>
      </c>
      <c r="H143" s="1"/>
      <c r="I143" s="1">
        <v>142</v>
      </c>
      <c r="J143" s="1"/>
      <c r="K143" s="1">
        <v>153</v>
      </c>
      <c r="L143" s="1"/>
      <c r="M143" s="1">
        <v>111</v>
      </c>
      <c r="N143" s="1"/>
      <c r="O143" s="1">
        <v>122</v>
      </c>
      <c r="P143" s="1"/>
      <c r="Q143" s="1"/>
      <c r="R143" s="1" t="s">
        <v>98</v>
      </c>
      <c r="S143" s="1" t="s">
        <v>101</v>
      </c>
    </row>
    <row r="144" spans="1:19" ht="18" customHeight="1" x14ac:dyDescent="0.35">
      <c r="A144" s="10" t="s">
        <v>70</v>
      </c>
      <c r="B144" s="34">
        <v>1500</v>
      </c>
      <c r="C144" s="2" t="s">
        <v>18</v>
      </c>
      <c r="D144" s="2">
        <f>SUM(Tabela34[[#This Row],[HP]:[mut FOOD]])+1</f>
        <v>800</v>
      </c>
      <c r="E144" s="1">
        <v>133</v>
      </c>
      <c r="F144" s="1"/>
      <c r="G144" s="1">
        <v>129</v>
      </c>
      <c r="H144" s="1"/>
      <c r="I144" s="1">
        <v>128</v>
      </c>
      <c r="J144" s="1"/>
      <c r="K144" s="1">
        <v>135</v>
      </c>
      <c r="L144" s="1"/>
      <c r="M144" s="1">
        <v>134</v>
      </c>
      <c r="N144" s="1"/>
      <c r="O144" s="1">
        <v>140</v>
      </c>
      <c r="P144" s="1"/>
      <c r="Q144" s="1"/>
      <c r="R144" s="1"/>
    </row>
    <row r="145" spans="1:19" ht="18" customHeight="1" x14ac:dyDescent="0.35">
      <c r="A145" s="35" t="s">
        <v>71</v>
      </c>
      <c r="B145" s="34">
        <v>1500</v>
      </c>
      <c r="C145" s="2" t="s">
        <v>22</v>
      </c>
      <c r="D145" s="2">
        <f>SUM(Tabela34[[#This Row],[HP]:[mut FOOD]])+1</f>
        <v>845</v>
      </c>
      <c r="E145" s="1">
        <v>139</v>
      </c>
      <c r="F145" s="5">
        <v>98</v>
      </c>
      <c r="G145" s="1">
        <v>109</v>
      </c>
      <c r="H145" s="1"/>
      <c r="I145" s="1">
        <v>131</v>
      </c>
      <c r="J145" s="1"/>
      <c r="K145" s="1">
        <v>124</v>
      </c>
      <c r="L145" s="1"/>
      <c r="M145" s="1">
        <v>122</v>
      </c>
      <c r="N145" s="1"/>
      <c r="O145" s="1">
        <v>121</v>
      </c>
      <c r="P145" s="1"/>
      <c r="Q145" s="1"/>
      <c r="R145" s="1"/>
    </row>
    <row r="146" spans="1:19" ht="20.149999999999999" customHeight="1" x14ac:dyDescent="0.35">
      <c r="A146" s="10" t="s">
        <v>71</v>
      </c>
      <c r="B146" s="34">
        <v>1100</v>
      </c>
      <c r="C146" s="2" t="s">
        <v>22</v>
      </c>
      <c r="D146" s="2">
        <f>SUM(Tabela34[[#This Row],[HP]:[mut FOOD]])+1</f>
        <v>747</v>
      </c>
      <c r="E146" s="1">
        <v>139</v>
      </c>
      <c r="F146" s="1"/>
      <c r="G146" s="1">
        <v>109</v>
      </c>
      <c r="H146" s="1"/>
      <c r="I146" s="1">
        <v>131</v>
      </c>
      <c r="J146" s="1"/>
      <c r="K146" s="1">
        <v>124</v>
      </c>
      <c r="L146" s="1"/>
      <c r="M146" s="1">
        <v>122</v>
      </c>
      <c r="N146" s="1"/>
      <c r="O146" s="1">
        <v>121</v>
      </c>
      <c r="P146" s="1"/>
      <c r="Q146" s="1"/>
      <c r="R146" s="1"/>
    </row>
    <row r="147" spans="1:19" ht="20.149999999999999" customHeight="1" x14ac:dyDescent="0.35">
      <c r="A147" s="35" t="s">
        <v>124</v>
      </c>
      <c r="B147" s="34">
        <v>12500</v>
      </c>
      <c r="C147" s="2" t="s">
        <v>25</v>
      </c>
      <c r="D147" s="2">
        <f>SUM(Tabela34[[#This Row],[HP]:[mut FOOD]])+1</f>
        <v>1124</v>
      </c>
      <c r="E147" s="1">
        <v>158</v>
      </c>
      <c r="F147" s="5">
        <v>98</v>
      </c>
      <c r="G147" s="1">
        <v>153</v>
      </c>
      <c r="H147" s="5">
        <v>98</v>
      </c>
      <c r="I147" s="1">
        <v>127</v>
      </c>
      <c r="J147" s="5">
        <v>98</v>
      </c>
      <c r="K147" s="1">
        <v>160</v>
      </c>
      <c r="L147" s="5">
        <v>98</v>
      </c>
      <c r="N147" s="1"/>
      <c r="O147" s="1">
        <v>133</v>
      </c>
      <c r="Q147" s="1"/>
      <c r="R147" s="1"/>
    </row>
    <row r="148" spans="1:19" ht="20.149999999999999" customHeight="1" x14ac:dyDescent="0.35">
      <c r="A148" s="35" t="s">
        <v>124</v>
      </c>
      <c r="B148" s="34">
        <v>15000</v>
      </c>
      <c r="C148" s="2" t="s">
        <v>25</v>
      </c>
      <c r="D148" s="2">
        <f>SUM(Tabela34[[#This Row],[HP]:[mut FOOD]])+1</f>
        <v>1380</v>
      </c>
      <c r="E148" s="1">
        <v>158</v>
      </c>
      <c r="F148" s="6">
        <v>162</v>
      </c>
      <c r="G148" s="1">
        <v>153</v>
      </c>
      <c r="H148" s="6">
        <v>162</v>
      </c>
      <c r="I148" s="1">
        <v>127</v>
      </c>
      <c r="J148" s="6">
        <v>162</v>
      </c>
      <c r="K148" s="1">
        <v>160</v>
      </c>
      <c r="L148" s="6">
        <v>162</v>
      </c>
      <c r="N148" s="1"/>
      <c r="O148" s="1">
        <v>133</v>
      </c>
      <c r="Q148" s="6" t="s">
        <v>16</v>
      </c>
      <c r="R148" s="1"/>
    </row>
    <row r="149" spans="1:19" ht="20.149999999999999" customHeight="1" x14ac:dyDescent="0.35">
      <c r="A149" s="35" t="s">
        <v>124</v>
      </c>
      <c r="B149" s="34">
        <v>18000</v>
      </c>
      <c r="C149" s="2" t="s">
        <v>25</v>
      </c>
      <c r="D149" s="2">
        <f>SUM(Tabela34[[#This Row],[HP]:[mut FOOD]])+1</f>
        <v>1752</v>
      </c>
      <c r="E149" s="1">
        <v>158</v>
      </c>
      <c r="F149" s="6">
        <v>255</v>
      </c>
      <c r="G149" s="1">
        <v>153</v>
      </c>
      <c r="H149" s="6">
        <v>255</v>
      </c>
      <c r="I149" s="1">
        <v>127</v>
      </c>
      <c r="J149" s="6">
        <v>255</v>
      </c>
      <c r="K149" s="1">
        <v>160</v>
      </c>
      <c r="L149" s="6">
        <v>255</v>
      </c>
      <c r="N149" s="1"/>
      <c r="O149" s="1">
        <v>133</v>
      </c>
      <c r="Q149" s="6" t="s">
        <v>16</v>
      </c>
      <c r="R149" s="1"/>
    </row>
    <row r="150" spans="1:19" ht="20.149999999999999" customHeight="1" x14ac:dyDescent="0.35">
      <c r="A150" s="10" t="s">
        <v>124</v>
      </c>
      <c r="B150" s="34">
        <v>5500</v>
      </c>
      <c r="C150" s="2" t="s">
        <v>25</v>
      </c>
      <c r="D150" s="2">
        <f>SUM(Tabela34[[#This Row],[HP]:[mut FOOD]])+1</f>
        <v>732</v>
      </c>
      <c r="E150" s="1">
        <v>158</v>
      </c>
      <c r="F150" s="1"/>
      <c r="G150" s="1">
        <v>153</v>
      </c>
      <c r="H150" s="1"/>
      <c r="I150" s="1">
        <v>127</v>
      </c>
      <c r="J150" s="1"/>
      <c r="K150" s="1">
        <v>160</v>
      </c>
      <c r="L150" s="1"/>
      <c r="N150" s="1"/>
      <c r="O150" s="1">
        <v>133</v>
      </c>
      <c r="P150" s="1"/>
      <c r="Q150" s="1"/>
      <c r="R150" s="1"/>
    </row>
    <row r="151" spans="1:19" ht="20.149999999999999" customHeight="1" x14ac:dyDescent="0.35">
      <c r="A151" s="10" t="s">
        <v>121</v>
      </c>
      <c r="B151" s="34">
        <v>2300</v>
      </c>
      <c r="C151" s="2" t="s">
        <v>18</v>
      </c>
      <c r="D151" s="2">
        <f>SUM(Tabela34[[#This Row],[HP]:[mut FOOD]])+1</f>
        <v>861</v>
      </c>
      <c r="E151" s="1">
        <v>143</v>
      </c>
      <c r="F151" s="1"/>
      <c r="G151" s="1">
        <v>154</v>
      </c>
      <c r="H151" s="1"/>
      <c r="I151" s="1">
        <v>141</v>
      </c>
      <c r="J151" s="1"/>
      <c r="K151" s="1">
        <v>140</v>
      </c>
      <c r="L151" s="1"/>
      <c r="M151" s="1">
        <v>150</v>
      </c>
      <c r="N151" s="1"/>
      <c r="O151" s="1">
        <v>132</v>
      </c>
      <c r="P151" s="1"/>
      <c r="Q151" s="1"/>
      <c r="R151" s="1" t="s">
        <v>128</v>
      </c>
    </row>
    <row r="152" spans="1:19" ht="20.149999999999999" customHeight="1" x14ac:dyDescent="0.35">
      <c r="A152" s="10" t="s">
        <v>140</v>
      </c>
      <c r="B152" s="34">
        <v>1700</v>
      </c>
      <c r="C152" s="2" t="s">
        <v>17</v>
      </c>
      <c r="D152" s="2">
        <f>SUM(Tabela34[[#This Row],[HP]:[mut FOOD]])+1</f>
        <v>753</v>
      </c>
      <c r="E152" s="1">
        <v>133</v>
      </c>
      <c r="F152" s="1"/>
      <c r="G152" s="1">
        <v>127</v>
      </c>
      <c r="H152" s="1"/>
      <c r="I152" s="1">
        <v>127</v>
      </c>
      <c r="J152" s="1"/>
      <c r="K152" s="1">
        <v>132</v>
      </c>
      <c r="L152" s="1"/>
      <c r="M152" s="1">
        <v>113</v>
      </c>
      <c r="N152" s="1"/>
      <c r="O152" s="1">
        <v>120</v>
      </c>
      <c r="P152" s="1"/>
      <c r="Q152" s="1"/>
      <c r="R152" s="1"/>
      <c r="S152" s="1" t="s">
        <v>101</v>
      </c>
    </row>
    <row r="153" spans="1:19" ht="20.149999999999999" customHeight="1" x14ac:dyDescent="0.35">
      <c r="A153" s="10" t="s">
        <v>120</v>
      </c>
      <c r="B153" s="34">
        <v>1500</v>
      </c>
      <c r="C153" s="2" t="s">
        <v>22</v>
      </c>
      <c r="D153" s="2">
        <f>SUM(Tabela34[[#This Row],[HP]:[mut FOOD]])+1</f>
        <v>803</v>
      </c>
      <c r="E153" s="1">
        <v>144</v>
      </c>
      <c r="F153" s="1"/>
      <c r="G153" s="1">
        <v>137</v>
      </c>
      <c r="H153" s="1"/>
      <c r="I153" s="1">
        <v>137</v>
      </c>
      <c r="J153" s="1"/>
      <c r="K153" s="1">
        <v>145</v>
      </c>
      <c r="L153" s="1"/>
      <c r="M153" s="1">
        <v>120</v>
      </c>
      <c r="N153" s="1"/>
      <c r="O153" s="1">
        <v>119</v>
      </c>
      <c r="P153" s="1"/>
      <c r="Q153" s="1"/>
      <c r="R153" s="1"/>
    </row>
    <row r="154" spans="1:19" ht="20.149999999999999" customHeight="1" x14ac:dyDescent="0.35">
      <c r="A154" s="10" t="s">
        <v>73</v>
      </c>
      <c r="B154" s="34">
        <v>7400</v>
      </c>
      <c r="C154" s="2" t="s">
        <v>25</v>
      </c>
      <c r="D154" s="2">
        <f>SUM(Tabela34[[#This Row],[HP]:[mut FOOD]])+1</f>
        <v>740</v>
      </c>
      <c r="E154" s="1">
        <v>166</v>
      </c>
      <c r="F154" s="1"/>
      <c r="G154" s="1">
        <v>138</v>
      </c>
      <c r="H154" s="1"/>
      <c r="I154" s="1">
        <v>131</v>
      </c>
      <c r="J154" s="1"/>
      <c r="K154" s="1">
        <v>151</v>
      </c>
      <c r="L154" s="1"/>
      <c r="N154" s="1"/>
      <c r="O154" s="1">
        <v>153</v>
      </c>
      <c r="P154" s="1"/>
      <c r="Q154" s="1"/>
      <c r="R154" s="1"/>
      <c r="S154" s="1" t="s">
        <v>101</v>
      </c>
    </row>
    <row r="155" spans="1:19" ht="20.149999999999999" customHeight="1" x14ac:dyDescent="0.35">
      <c r="A155" s="10" t="s">
        <v>74</v>
      </c>
      <c r="B155" s="34">
        <v>6500</v>
      </c>
      <c r="C155" s="2" t="s">
        <v>19</v>
      </c>
      <c r="D155" s="2">
        <f>SUM(Tabela34[[#This Row],[HP]:[mut FOOD]])+1</f>
        <v>512</v>
      </c>
      <c r="E155" s="1">
        <v>84</v>
      </c>
      <c r="F155" s="1"/>
      <c r="G155" s="1">
        <v>81</v>
      </c>
      <c r="H155" s="1"/>
      <c r="I155" s="1">
        <v>99</v>
      </c>
      <c r="J155" s="1"/>
      <c r="K155" s="1">
        <v>83</v>
      </c>
      <c r="L155" s="1"/>
      <c r="M155" s="1">
        <v>82</v>
      </c>
      <c r="N155" s="1"/>
      <c r="O155" s="1">
        <v>82</v>
      </c>
      <c r="P155" s="1"/>
      <c r="Q155" s="1"/>
      <c r="R155" s="1" t="s">
        <v>97</v>
      </c>
    </row>
    <row r="156" spans="1:19" ht="20.149999999999999" customHeight="1" x14ac:dyDescent="0.35">
      <c r="A156" s="10" t="s">
        <v>74</v>
      </c>
      <c r="B156" s="34">
        <v>9700</v>
      </c>
      <c r="C156" s="2" t="s">
        <v>19</v>
      </c>
      <c r="D156" s="2">
        <f>SUM(Tabela34[[#This Row],[HP]:[mut FOOD]])+1</f>
        <v>779</v>
      </c>
      <c r="E156" s="1">
        <v>137</v>
      </c>
      <c r="F156" s="1"/>
      <c r="G156" s="1">
        <v>139</v>
      </c>
      <c r="H156" s="1"/>
      <c r="I156" s="1">
        <v>112</v>
      </c>
      <c r="J156" s="1"/>
      <c r="K156" s="1">
        <v>141</v>
      </c>
      <c r="L156" s="1"/>
      <c r="M156" s="1">
        <v>128</v>
      </c>
      <c r="N156" s="1"/>
      <c r="O156" s="1">
        <v>121</v>
      </c>
      <c r="P156" s="1"/>
      <c r="Q156" s="1"/>
      <c r="R156" s="1"/>
    </row>
    <row r="157" spans="1:19" ht="20.149999999999999" customHeight="1" x14ac:dyDescent="0.35">
      <c r="A157" s="1" t="s">
        <v>75</v>
      </c>
      <c r="B157" s="34">
        <v>7600</v>
      </c>
      <c r="C157" s="2" t="s">
        <v>19</v>
      </c>
      <c r="D157" s="2">
        <f>SUM(Tabela34[[#This Row],[HP]:[mut FOOD]])+1</f>
        <v>954</v>
      </c>
      <c r="E157" s="1">
        <v>130</v>
      </c>
      <c r="F157" s="5">
        <v>98</v>
      </c>
      <c r="G157" s="1">
        <v>129</v>
      </c>
      <c r="I157" s="1">
        <v>119</v>
      </c>
      <c r="K157" s="1">
        <v>135</v>
      </c>
      <c r="L157" s="5">
        <v>98</v>
      </c>
      <c r="M157" s="1">
        <v>117</v>
      </c>
      <c r="O157" s="1">
        <v>127</v>
      </c>
      <c r="Q157" s="1"/>
      <c r="R157" s="1"/>
    </row>
    <row r="158" spans="1:19" ht="20.149999999999999" customHeight="1" x14ac:dyDescent="0.35">
      <c r="A158" s="1" t="s">
        <v>75</v>
      </c>
      <c r="B158" s="34">
        <v>10500</v>
      </c>
      <c r="C158" s="2" t="s">
        <v>19</v>
      </c>
      <c r="D158" s="2">
        <f>SUM(Tabela34[[#This Row],[HP]:[mut FOOD]])+1</f>
        <v>1150</v>
      </c>
      <c r="E158" s="1">
        <v>130</v>
      </c>
      <c r="F158" s="5">
        <v>98</v>
      </c>
      <c r="G158" s="1">
        <v>129</v>
      </c>
      <c r="H158" s="5">
        <v>98</v>
      </c>
      <c r="I158" s="1">
        <v>119</v>
      </c>
      <c r="J158" s="5">
        <v>98</v>
      </c>
      <c r="K158" s="1">
        <v>135</v>
      </c>
      <c r="L158" s="5">
        <v>98</v>
      </c>
      <c r="M158" s="1">
        <v>117</v>
      </c>
      <c r="O158" s="1">
        <v>127</v>
      </c>
      <c r="Q158" s="1"/>
      <c r="R158" s="1"/>
    </row>
    <row r="159" spans="1:19" ht="20.149999999999999" customHeight="1" x14ac:dyDescent="0.35">
      <c r="A159" s="10" t="s">
        <v>75</v>
      </c>
      <c r="B159" s="34">
        <v>5000</v>
      </c>
      <c r="C159" s="2" t="s">
        <v>19</v>
      </c>
      <c r="D159" s="2">
        <f>SUM(Tabela34[[#This Row],[HP]:[mut FOOD]])+1</f>
        <v>758</v>
      </c>
      <c r="E159" s="1">
        <v>130</v>
      </c>
      <c r="F159" s="1"/>
      <c r="G159" s="1">
        <v>129</v>
      </c>
      <c r="H159" s="1"/>
      <c r="I159" s="1">
        <v>119</v>
      </c>
      <c r="J159" s="1"/>
      <c r="K159" s="1">
        <v>135</v>
      </c>
      <c r="L159" s="1"/>
      <c r="M159" s="1">
        <v>117</v>
      </c>
      <c r="N159" s="1"/>
      <c r="O159" s="1">
        <v>127</v>
      </c>
      <c r="P159" s="1"/>
      <c r="Q159" s="1"/>
      <c r="R159" s="1"/>
      <c r="S159" s="1" t="s">
        <v>101</v>
      </c>
    </row>
    <row r="160" spans="1:19" s="9" customFormat="1" ht="20.149999999999999" customHeight="1" x14ac:dyDescent="0.35">
      <c r="A160" s="1" t="s">
        <v>76</v>
      </c>
      <c r="B160" s="34">
        <v>18000</v>
      </c>
      <c r="C160" s="2" t="s">
        <v>19</v>
      </c>
      <c r="D160" s="2">
        <f>SUM(Tabela34[[#This Row],[HP]:[mut FOOD]])+1</f>
        <v>1212</v>
      </c>
      <c r="E160" s="1">
        <v>145</v>
      </c>
      <c r="F160" s="5">
        <v>98</v>
      </c>
      <c r="G160" s="1">
        <v>150</v>
      </c>
      <c r="H160" s="5">
        <v>98</v>
      </c>
      <c r="I160" s="1">
        <v>146</v>
      </c>
      <c r="J160" s="5">
        <v>98</v>
      </c>
      <c r="K160" s="1">
        <v>142</v>
      </c>
      <c r="L160" s="5">
        <v>98</v>
      </c>
      <c r="M160" s="1">
        <v>114</v>
      </c>
      <c r="N160" s="5"/>
      <c r="O160" s="1">
        <v>122</v>
      </c>
      <c r="P160" s="5"/>
      <c r="Q160" s="1"/>
      <c r="R160" s="1"/>
      <c r="S160" s="1"/>
    </row>
    <row r="161" spans="1:19" ht="20.149999999999999" customHeight="1" x14ac:dyDescent="0.35">
      <c r="A161" s="1" t="s">
        <v>76</v>
      </c>
      <c r="B161" s="34">
        <v>23000</v>
      </c>
      <c r="C161" s="2" t="s">
        <v>19</v>
      </c>
      <c r="D161" s="2">
        <f>SUM(Tabela34[[#This Row],[HP]:[mut FOOD]])+1</f>
        <v>1840</v>
      </c>
      <c r="E161" s="1">
        <v>145</v>
      </c>
      <c r="F161" s="6">
        <v>255</v>
      </c>
      <c r="G161" s="1">
        <v>150</v>
      </c>
      <c r="H161" s="6">
        <v>255</v>
      </c>
      <c r="I161" s="1">
        <v>146</v>
      </c>
      <c r="J161" s="6">
        <v>255</v>
      </c>
      <c r="K161" s="1">
        <v>142</v>
      </c>
      <c r="L161" s="6">
        <v>255</v>
      </c>
      <c r="M161" s="1">
        <v>114</v>
      </c>
      <c r="N161" s="6"/>
      <c r="O161" s="1">
        <v>122</v>
      </c>
      <c r="P161" s="6"/>
      <c r="Q161" s="6" t="s">
        <v>16</v>
      </c>
      <c r="R161" s="1"/>
    </row>
    <row r="162" spans="1:19" ht="20.149999999999999" customHeight="1" x14ac:dyDescent="0.35">
      <c r="A162" s="10" t="s">
        <v>76</v>
      </c>
      <c r="B162" s="34">
        <v>6100</v>
      </c>
      <c r="C162" s="2" t="s">
        <v>19</v>
      </c>
      <c r="D162" s="2">
        <f>SUM(Tabela34[[#This Row],[HP]:[mut FOOD]])+1</f>
        <v>732</v>
      </c>
      <c r="E162" s="1">
        <v>132</v>
      </c>
      <c r="F162" s="1"/>
      <c r="G162" s="1">
        <v>128</v>
      </c>
      <c r="H162" s="1"/>
      <c r="I162" s="1">
        <v>108</v>
      </c>
      <c r="J162" s="1"/>
      <c r="K162" s="1">
        <v>127</v>
      </c>
      <c r="L162" s="1"/>
      <c r="M162" s="1">
        <v>114</v>
      </c>
      <c r="N162" s="1"/>
      <c r="O162" s="1">
        <v>122</v>
      </c>
      <c r="P162" s="1"/>
      <c r="Q162" s="1"/>
      <c r="R162" s="1"/>
      <c r="S162" s="1" t="s">
        <v>101</v>
      </c>
    </row>
    <row r="163" spans="1:19" ht="20.149999999999999" customHeight="1" x14ac:dyDescent="0.35">
      <c r="A163" s="10" t="s">
        <v>76</v>
      </c>
      <c r="B163" s="34">
        <v>8500</v>
      </c>
      <c r="C163" s="2" t="s">
        <v>19</v>
      </c>
      <c r="D163" s="2">
        <f>SUM(Tabela34[[#This Row],[HP]:[mut FOOD]])+1</f>
        <v>820</v>
      </c>
      <c r="E163" s="1">
        <v>145</v>
      </c>
      <c r="F163" s="1"/>
      <c r="G163" s="1">
        <v>150</v>
      </c>
      <c r="H163" s="1"/>
      <c r="I163" s="1">
        <v>146</v>
      </c>
      <c r="J163" s="1"/>
      <c r="K163" s="1">
        <v>142</v>
      </c>
      <c r="L163" s="1"/>
      <c r="M163" s="1">
        <v>114</v>
      </c>
      <c r="N163" s="1"/>
      <c r="O163" s="1">
        <v>122</v>
      </c>
      <c r="P163" s="1"/>
      <c r="Q163" s="1"/>
      <c r="R163" s="1"/>
      <c r="S163" s="1" t="s">
        <v>101</v>
      </c>
    </row>
    <row r="164" spans="1:19" ht="20.149999999999999" customHeight="1" x14ac:dyDescent="0.35">
      <c r="A164" s="10" t="s">
        <v>77</v>
      </c>
      <c r="B164" s="34">
        <v>4500</v>
      </c>
      <c r="C164" s="2" t="s">
        <v>19</v>
      </c>
      <c r="D164" s="2">
        <f>SUM(Tabela34[[#This Row],[HP]:[mut FOOD]])+1</f>
        <v>767</v>
      </c>
      <c r="E164" s="1">
        <v>133</v>
      </c>
      <c r="F164" s="1"/>
      <c r="G164" s="1">
        <v>136</v>
      </c>
      <c r="H164" s="1"/>
      <c r="I164" s="1">
        <v>136</v>
      </c>
      <c r="J164" s="1"/>
      <c r="K164" s="1">
        <v>137</v>
      </c>
      <c r="L164" s="1"/>
      <c r="M164" s="1">
        <v>113</v>
      </c>
      <c r="N164" s="1"/>
      <c r="O164" s="1">
        <v>111</v>
      </c>
      <c r="P164" s="1"/>
      <c r="Q164" s="1"/>
      <c r="R164" s="1"/>
      <c r="S164" s="1" t="s">
        <v>101</v>
      </c>
    </row>
    <row r="165" spans="1:19" ht="20.149999999999999" customHeight="1" x14ac:dyDescent="0.35">
      <c r="A165" s="10" t="s">
        <v>78</v>
      </c>
      <c r="B165" s="34">
        <v>2800</v>
      </c>
      <c r="C165" s="2" t="s">
        <v>22</v>
      </c>
      <c r="D165" s="2">
        <f>SUM(Tabela34[[#This Row],[HP]:[mut FOOD]])+1</f>
        <v>815</v>
      </c>
      <c r="E165" s="1">
        <v>133</v>
      </c>
      <c r="F165" s="1"/>
      <c r="G165" s="1">
        <v>139</v>
      </c>
      <c r="H165" s="1"/>
      <c r="I165" s="1">
        <v>133</v>
      </c>
      <c r="J165" s="1"/>
      <c r="K165" s="1">
        <v>131</v>
      </c>
      <c r="L165" s="1"/>
      <c r="M165" s="1">
        <v>149</v>
      </c>
      <c r="N165" s="1"/>
      <c r="O165" s="1">
        <v>129</v>
      </c>
      <c r="P165" s="1"/>
      <c r="Q165" s="1"/>
      <c r="R165" s="1"/>
      <c r="S165" s="1" t="s">
        <v>101</v>
      </c>
    </row>
    <row r="166" spans="1:19" ht="20.149999999999999" customHeight="1" x14ac:dyDescent="0.35">
      <c r="A166" s="10" t="s">
        <v>117</v>
      </c>
      <c r="B166" s="34">
        <v>2500</v>
      </c>
      <c r="C166" s="2" t="s">
        <v>18</v>
      </c>
      <c r="D166" s="2">
        <f>SUM(Tabela34[[#This Row],[HP]:[mut FOOD]])+1</f>
        <v>700</v>
      </c>
      <c r="E166" s="1">
        <v>122</v>
      </c>
      <c r="F166" s="1"/>
      <c r="G166" s="1">
        <v>120</v>
      </c>
      <c r="H166" s="1"/>
      <c r="I166" s="1">
        <v>103</v>
      </c>
      <c r="J166" s="1"/>
      <c r="K166" s="1">
        <v>141</v>
      </c>
      <c r="L166" s="1"/>
      <c r="M166" s="1">
        <v>111</v>
      </c>
      <c r="N166" s="1"/>
      <c r="O166" s="1">
        <v>102</v>
      </c>
      <c r="P166" s="1"/>
      <c r="Q166" s="1"/>
      <c r="R166" s="1"/>
    </row>
    <row r="167" spans="1:19" ht="20.149999999999999" customHeight="1" x14ac:dyDescent="0.35">
      <c r="A167" s="10" t="s">
        <v>79</v>
      </c>
      <c r="B167" s="34">
        <v>2200</v>
      </c>
      <c r="C167" s="2" t="s">
        <v>17</v>
      </c>
      <c r="D167" s="2">
        <f>SUM(Tabela34[[#This Row],[HP]:[mut FOOD]])+1</f>
        <v>790</v>
      </c>
      <c r="E167" s="1">
        <v>144</v>
      </c>
      <c r="F167" s="1"/>
      <c r="G167" s="1">
        <v>139</v>
      </c>
      <c r="H167" s="1"/>
      <c r="I167" s="1">
        <v>138</v>
      </c>
      <c r="J167" s="1"/>
      <c r="K167" s="1">
        <v>144</v>
      </c>
      <c r="L167" s="1"/>
      <c r="M167" s="1">
        <v>113</v>
      </c>
      <c r="N167" s="1"/>
      <c r="O167" s="1">
        <v>111</v>
      </c>
      <c r="P167" s="1"/>
      <c r="Q167" s="1"/>
      <c r="R167" s="1"/>
      <c r="S167" s="1" t="s">
        <v>101</v>
      </c>
    </row>
    <row r="168" spans="1:19" ht="20.149999999999999" customHeight="1" x14ac:dyDescent="0.35">
      <c r="A168" s="10" t="s">
        <v>80</v>
      </c>
      <c r="B168" s="34">
        <v>3800</v>
      </c>
      <c r="C168" s="2" t="s">
        <v>17</v>
      </c>
      <c r="D168" s="2">
        <f>SUM(Tabela34[[#This Row],[HP]:[mut FOOD]])+1</f>
        <v>748</v>
      </c>
      <c r="E168" s="1">
        <v>127</v>
      </c>
      <c r="F168" s="1"/>
      <c r="G168" s="1">
        <v>136</v>
      </c>
      <c r="H168" s="1"/>
      <c r="I168" s="1">
        <v>123</v>
      </c>
      <c r="J168" s="1"/>
      <c r="K168" s="1">
        <v>133</v>
      </c>
      <c r="L168" s="1"/>
      <c r="M168" s="1">
        <v>115</v>
      </c>
      <c r="N168" s="1"/>
      <c r="O168" s="1">
        <v>113</v>
      </c>
      <c r="P168" s="1"/>
      <c r="Q168" s="1"/>
      <c r="R168" s="1"/>
      <c r="S168" s="1" t="s">
        <v>101</v>
      </c>
    </row>
    <row r="169" spans="1:19" ht="20.149999999999999" customHeight="1" x14ac:dyDescent="0.35">
      <c r="A169" s="10" t="s">
        <v>109</v>
      </c>
      <c r="B169" s="34">
        <v>5000</v>
      </c>
      <c r="C169" s="2" t="s">
        <v>19</v>
      </c>
      <c r="D169" s="2">
        <f>SUM(Tabela34[[#This Row],[HP]:[mut FOOD]])+1</f>
        <v>822</v>
      </c>
      <c r="E169" s="1">
        <v>148</v>
      </c>
      <c r="F169" s="1"/>
      <c r="G169" s="1">
        <v>143</v>
      </c>
      <c r="H169" s="1"/>
      <c r="I169" s="1">
        <v>139</v>
      </c>
      <c r="J169" s="1"/>
      <c r="K169" s="1">
        <v>140</v>
      </c>
      <c r="L169" s="1"/>
      <c r="M169" s="1">
        <v>127</v>
      </c>
      <c r="N169" s="1"/>
      <c r="O169" s="1">
        <v>124</v>
      </c>
      <c r="P169" s="1"/>
      <c r="Q169" s="1"/>
      <c r="R169" s="1"/>
      <c r="S169" s="1" t="s">
        <v>101</v>
      </c>
    </row>
    <row r="170" spans="1:19" ht="20.149999999999999" customHeight="1" x14ac:dyDescent="0.35">
      <c r="A170" s="10" t="s">
        <v>81</v>
      </c>
      <c r="B170" s="34">
        <v>1800</v>
      </c>
      <c r="C170" s="2" t="s">
        <v>17</v>
      </c>
      <c r="D170" s="2">
        <f>SUM(Tabela34[[#This Row],[HP]:[mut FOOD]])+1</f>
        <v>740</v>
      </c>
      <c r="E170" s="1">
        <v>120</v>
      </c>
      <c r="F170" s="1"/>
      <c r="G170" s="1">
        <v>125</v>
      </c>
      <c r="H170" s="1"/>
      <c r="I170" s="1">
        <v>120</v>
      </c>
      <c r="J170" s="1"/>
      <c r="K170" s="1">
        <v>122</v>
      </c>
      <c r="L170" s="1"/>
      <c r="M170" s="1">
        <v>134</v>
      </c>
      <c r="N170" s="1"/>
      <c r="O170" s="1">
        <v>118</v>
      </c>
      <c r="P170" s="1"/>
      <c r="Q170" s="1"/>
      <c r="R170" s="1"/>
      <c r="S170" s="1" t="s">
        <v>101</v>
      </c>
    </row>
    <row r="171" spans="1:19" ht="20.149999999999999" customHeight="1" x14ac:dyDescent="0.35">
      <c r="A171" s="1" t="s">
        <v>82</v>
      </c>
      <c r="B171" s="34">
        <v>4500</v>
      </c>
      <c r="C171" s="2" t="s">
        <v>19</v>
      </c>
      <c r="D171" s="2">
        <f>SUM(Tabela34[[#This Row],[HP]:[mut FOOD]])+1</f>
        <v>1092</v>
      </c>
      <c r="E171" s="1">
        <v>113</v>
      </c>
      <c r="F171" s="5">
        <v>98</v>
      </c>
      <c r="G171" s="1">
        <v>116</v>
      </c>
      <c r="H171" s="5">
        <v>98</v>
      </c>
      <c r="I171" s="1">
        <v>93</v>
      </c>
      <c r="J171" s="5">
        <v>98</v>
      </c>
      <c r="K171" s="1">
        <v>150</v>
      </c>
      <c r="L171" s="5">
        <v>98</v>
      </c>
      <c r="M171" s="1">
        <v>116</v>
      </c>
      <c r="O171" s="1">
        <v>111</v>
      </c>
      <c r="Q171" s="1"/>
      <c r="R171" s="1"/>
    </row>
    <row r="172" spans="1:19" ht="20.149999999999999" customHeight="1" x14ac:dyDescent="0.35">
      <c r="A172" s="1" t="s">
        <v>82</v>
      </c>
      <c r="B172" s="34">
        <v>6500</v>
      </c>
      <c r="C172" s="2" t="s">
        <v>19</v>
      </c>
      <c r="D172" s="2">
        <f>SUM(Tabela34[[#This Row],[HP]:[mut FOOD]])+1</f>
        <v>1720</v>
      </c>
      <c r="E172" s="1">
        <v>113</v>
      </c>
      <c r="F172" s="6">
        <v>255</v>
      </c>
      <c r="G172" s="1">
        <v>116</v>
      </c>
      <c r="H172" s="6">
        <v>255</v>
      </c>
      <c r="I172" s="1">
        <v>93</v>
      </c>
      <c r="J172" s="6">
        <v>255</v>
      </c>
      <c r="K172" s="1">
        <v>150</v>
      </c>
      <c r="L172" s="6">
        <v>255</v>
      </c>
      <c r="M172" s="1">
        <v>116</v>
      </c>
      <c r="N172" s="6"/>
      <c r="O172" s="1">
        <v>111</v>
      </c>
      <c r="P172" s="6"/>
      <c r="Q172" s="6" t="s">
        <v>16</v>
      </c>
      <c r="R172" s="1"/>
    </row>
    <row r="173" spans="1:19" ht="20.149999999999999" customHeight="1" x14ac:dyDescent="0.35">
      <c r="A173" s="10" t="s">
        <v>82</v>
      </c>
      <c r="B173" s="34">
        <v>1800</v>
      </c>
      <c r="C173" s="2" t="s">
        <v>19</v>
      </c>
      <c r="D173" s="2">
        <f>SUM(Tabela34[[#This Row],[HP]:[mut FOOD]])+1</f>
        <v>700</v>
      </c>
      <c r="E173" s="1">
        <v>113</v>
      </c>
      <c r="F173" s="1"/>
      <c r="G173" s="1">
        <v>116</v>
      </c>
      <c r="H173" s="1"/>
      <c r="I173" s="1">
        <v>93</v>
      </c>
      <c r="J173" s="1"/>
      <c r="K173" s="1">
        <v>150</v>
      </c>
      <c r="L173" s="1"/>
      <c r="M173" s="1">
        <v>116</v>
      </c>
      <c r="N173" s="1"/>
      <c r="O173" s="1">
        <v>111</v>
      </c>
      <c r="P173" s="1"/>
      <c r="Q173" s="1"/>
      <c r="R173" s="1"/>
      <c r="S173" s="1" t="s">
        <v>101</v>
      </c>
    </row>
    <row r="174" spans="1:19" ht="20.149999999999999" customHeight="1" x14ac:dyDescent="0.35">
      <c r="A174" s="10" t="s">
        <v>145</v>
      </c>
      <c r="B174" s="34">
        <v>2400</v>
      </c>
      <c r="C174" s="2" t="s">
        <v>22</v>
      </c>
      <c r="D174" s="2">
        <f>SUM(Tabela34[[#This Row],[HP]:[mut FOOD]])+1</f>
        <v>761</v>
      </c>
      <c r="E174" s="1">
        <v>132</v>
      </c>
      <c r="F174" s="1"/>
      <c r="G174" s="1">
        <v>142</v>
      </c>
      <c r="H174" s="1"/>
      <c r="I174" s="1">
        <v>132</v>
      </c>
      <c r="J174" s="1"/>
      <c r="K174" s="1">
        <v>133</v>
      </c>
      <c r="L174" s="1"/>
      <c r="M174" s="1">
        <v>103</v>
      </c>
      <c r="N174" s="1"/>
      <c r="O174" s="1">
        <v>118</v>
      </c>
      <c r="P174" s="1"/>
      <c r="Q174" s="1"/>
      <c r="R174" s="1"/>
      <c r="S174" s="1" t="s">
        <v>101</v>
      </c>
    </row>
    <row r="175" spans="1:19" ht="20.149999999999999" customHeight="1" x14ac:dyDescent="0.35">
      <c r="A175" s="1" t="s">
        <v>84</v>
      </c>
      <c r="B175" s="34">
        <v>7600</v>
      </c>
      <c r="C175" s="2" t="s">
        <v>19</v>
      </c>
      <c r="D175" s="2">
        <f>SUM(Tabela34[[#This Row],[HP]:[mut FOOD]])+1</f>
        <v>961</v>
      </c>
      <c r="E175" s="1">
        <v>132</v>
      </c>
      <c r="F175" s="5">
        <v>98</v>
      </c>
      <c r="G175" s="1">
        <v>130</v>
      </c>
      <c r="I175" s="1">
        <v>133</v>
      </c>
      <c r="K175" s="1">
        <v>146</v>
      </c>
      <c r="L175" s="5">
        <v>98</v>
      </c>
      <c r="M175" s="1">
        <v>113</v>
      </c>
      <c r="O175" s="1">
        <v>110</v>
      </c>
      <c r="Q175" s="1"/>
      <c r="R175" s="1"/>
    </row>
    <row r="176" spans="1:19" ht="20.149999999999999" customHeight="1" x14ac:dyDescent="0.35">
      <c r="A176" s="1" t="s">
        <v>84</v>
      </c>
      <c r="B176" s="34">
        <v>9600</v>
      </c>
      <c r="C176" s="2" t="s">
        <v>19</v>
      </c>
      <c r="D176" s="2">
        <f>SUM(Tabela34[[#This Row],[HP]:[mut FOOD]])+1</f>
        <v>1059</v>
      </c>
      <c r="E176" s="1">
        <v>132</v>
      </c>
      <c r="F176" s="5">
        <v>98</v>
      </c>
      <c r="G176" s="1">
        <v>130</v>
      </c>
      <c r="I176" s="1">
        <v>133</v>
      </c>
      <c r="J176" s="5">
        <v>98</v>
      </c>
      <c r="K176" s="1">
        <v>146</v>
      </c>
      <c r="L176" s="5">
        <v>98</v>
      </c>
      <c r="M176" s="1">
        <v>113</v>
      </c>
      <c r="O176" s="1">
        <v>110</v>
      </c>
      <c r="Q176" s="1"/>
      <c r="R176" s="1"/>
    </row>
    <row r="177" spans="1:19" ht="20.149999999999999" customHeight="1" x14ac:dyDescent="0.35">
      <c r="A177" s="10" t="s">
        <v>84</v>
      </c>
      <c r="B177" s="34">
        <v>4700</v>
      </c>
      <c r="C177" s="2" t="s">
        <v>19</v>
      </c>
      <c r="D177" s="2">
        <f>SUM(Tabela34[[#This Row],[HP]:[mut FOOD]])+1</f>
        <v>765</v>
      </c>
      <c r="E177" s="1">
        <v>132</v>
      </c>
      <c r="F177" s="1"/>
      <c r="G177" s="1">
        <v>130</v>
      </c>
      <c r="H177" s="1"/>
      <c r="I177" s="1">
        <v>133</v>
      </c>
      <c r="J177" s="1"/>
      <c r="K177" s="1">
        <v>146</v>
      </c>
      <c r="L177" s="1"/>
      <c r="M177" s="1">
        <v>113</v>
      </c>
      <c r="N177" s="1"/>
      <c r="O177" s="1">
        <v>110</v>
      </c>
      <c r="P177" s="1"/>
      <c r="Q177" s="1"/>
      <c r="R177" s="1"/>
      <c r="S177" s="1" t="s">
        <v>101</v>
      </c>
    </row>
    <row r="178" spans="1:19" ht="20.149999999999999" customHeight="1" x14ac:dyDescent="0.35">
      <c r="A178" s="10" t="s">
        <v>85</v>
      </c>
      <c r="B178" s="34">
        <v>6100</v>
      </c>
      <c r="C178" s="2" t="s">
        <v>19</v>
      </c>
      <c r="D178" s="2">
        <f>SUM(Tabela34[[#This Row],[HP]:[mut FOOD]])+1</f>
        <v>735</v>
      </c>
      <c r="E178" s="1">
        <v>137</v>
      </c>
      <c r="F178" s="1"/>
      <c r="G178" s="1">
        <v>124</v>
      </c>
      <c r="H178" s="1"/>
      <c r="I178" s="1">
        <v>122</v>
      </c>
      <c r="J178" s="1"/>
      <c r="K178" s="1">
        <v>131</v>
      </c>
      <c r="L178" s="1"/>
      <c r="M178" s="1">
        <v>107</v>
      </c>
      <c r="N178" s="1"/>
      <c r="O178" s="1">
        <v>113</v>
      </c>
      <c r="P178" s="1"/>
      <c r="Q178" s="1"/>
      <c r="R178" s="1"/>
      <c r="S178" s="1" t="s">
        <v>101</v>
      </c>
    </row>
    <row r="179" spans="1:19" ht="20.149999999999999" customHeight="1" x14ac:dyDescent="0.35">
      <c r="A179" s="10" t="s">
        <v>125</v>
      </c>
      <c r="B179" s="34">
        <v>3300</v>
      </c>
      <c r="C179" s="2" t="s">
        <v>25</v>
      </c>
      <c r="D179" s="2">
        <f>SUM(Tabela34[[#This Row],[HP]:[mut FOOD]])+1</f>
        <v>820</v>
      </c>
      <c r="E179" s="1">
        <v>163</v>
      </c>
      <c r="F179" s="1"/>
      <c r="G179" s="1">
        <v>171</v>
      </c>
      <c r="H179" s="1"/>
      <c r="I179" s="1">
        <v>178</v>
      </c>
      <c r="J179" s="1"/>
      <c r="K179" s="1">
        <v>141</v>
      </c>
      <c r="L179" s="1"/>
      <c r="N179" s="1"/>
      <c r="O179" s="1">
        <v>166</v>
      </c>
      <c r="P179" s="1"/>
      <c r="Q179" s="1"/>
      <c r="R179" s="1" t="s">
        <v>128</v>
      </c>
    </row>
    <row r="180" spans="1:19" ht="20.149999999999999" customHeight="1" x14ac:dyDescent="0.35">
      <c r="A180" s="10" t="s">
        <v>146</v>
      </c>
      <c r="B180" s="34">
        <v>6100</v>
      </c>
      <c r="C180" s="2" t="s">
        <v>25</v>
      </c>
      <c r="D180" s="2">
        <f>SUM(Tabela34[[#This Row],[HP]:[mut FOOD]])+1</f>
        <v>753</v>
      </c>
      <c r="E180" s="1">
        <v>149</v>
      </c>
      <c r="F180" s="1"/>
      <c r="G180" s="1">
        <v>152</v>
      </c>
      <c r="H180" s="1"/>
      <c r="I180" s="1">
        <v>143</v>
      </c>
      <c r="J180" s="1"/>
      <c r="K180" s="1">
        <v>151</v>
      </c>
      <c r="L180" s="1"/>
      <c r="N180" s="1"/>
      <c r="O180" s="1">
        <v>157</v>
      </c>
      <c r="P180" s="1"/>
      <c r="Q180" s="1"/>
      <c r="R180" s="1"/>
      <c r="S180" s="1" t="s">
        <v>101</v>
      </c>
    </row>
    <row r="181" spans="1:19" ht="20.149999999999999" customHeight="1" x14ac:dyDescent="0.35">
      <c r="A181" s="10" t="s">
        <v>87</v>
      </c>
      <c r="B181" s="34">
        <v>4000</v>
      </c>
      <c r="C181" s="2" t="s">
        <v>18</v>
      </c>
      <c r="D181" s="2">
        <f>SUM(Tabela34[[#This Row],[HP]:[mut FOOD]])+1</f>
        <v>822</v>
      </c>
      <c r="E181" s="1">
        <v>148</v>
      </c>
      <c r="F181" s="1"/>
      <c r="G181" s="1">
        <v>143</v>
      </c>
      <c r="H181" s="1"/>
      <c r="I181" s="1">
        <v>139</v>
      </c>
      <c r="J181" s="1"/>
      <c r="K181" s="1">
        <v>140</v>
      </c>
      <c r="L181" s="1"/>
      <c r="M181" s="1">
        <v>127</v>
      </c>
      <c r="N181" s="1"/>
      <c r="O181" s="1">
        <v>124</v>
      </c>
      <c r="P181" s="1"/>
      <c r="Q181" s="1"/>
      <c r="R181" s="1"/>
    </row>
    <row r="182" spans="1:19" ht="20.149999999999999" customHeight="1" x14ac:dyDescent="0.35">
      <c r="A182" s="36" t="s">
        <v>153</v>
      </c>
      <c r="B182" s="34">
        <v>10500</v>
      </c>
      <c r="C182" s="33" t="s">
        <v>19</v>
      </c>
      <c r="D182" s="2">
        <f>SUM(Tabela34[[#This Row],[HP]:[mut FOOD]])+1</f>
        <v>1205</v>
      </c>
      <c r="E182" s="1">
        <v>142</v>
      </c>
      <c r="F182" s="5">
        <v>98</v>
      </c>
      <c r="G182" s="1">
        <v>136</v>
      </c>
      <c r="H182" s="5">
        <v>98</v>
      </c>
      <c r="I182" s="1">
        <v>151</v>
      </c>
      <c r="J182" s="5">
        <v>98</v>
      </c>
      <c r="K182" s="1">
        <v>139</v>
      </c>
      <c r="L182" s="5">
        <v>98</v>
      </c>
      <c r="M182" s="1">
        <v>128</v>
      </c>
      <c r="O182" s="1">
        <v>116</v>
      </c>
      <c r="P182" s="1"/>
      <c r="Q182" s="1"/>
      <c r="R182" s="1"/>
    </row>
    <row r="183" spans="1:19" ht="20.149999999999999" customHeight="1" x14ac:dyDescent="0.35">
      <c r="A183" s="36" t="s">
        <v>153</v>
      </c>
      <c r="B183" s="34">
        <v>12000</v>
      </c>
      <c r="C183" s="33" t="s">
        <v>19</v>
      </c>
      <c r="D183" s="2">
        <f>SUM(Tabela34[[#This Row],[HP]:[mut FOOD]])+1</f>
        <v>1461</v>
      </c>
      <c r="E183" s="1">
        <v>142</v>
      </c>
      <c r="F183" s="6">
        <v>162</v>
      </c>
      <c r="G183" s="1">
        <v>136</v>
      </c>
      <c r="H183" s="6">
        <v>162</v>
      </c>
      <c r="I183" s="1">
        <v>151</v>
      </c>
      <c r="J183" s="6">
        <v>162</v>
      </c>
      <c r="K183" s="1">
        <v>139</v>
      </c>
      <c r="L183" s="6">
        <v>162</v>
      </c>
      <c r="M183" s="1">
        <v>128</v>
      </c>
      <c r="O183" s="1">
        <v>116</v>
      </c>
      <c r="P183" s="1"/>
      <c r="Q183" s="6" t="s">
        <v>16</v>
      </c>
      <c r="R183" s="1"/>
    </row>
    <row r="184" spans="1:19" ht="20.149999999999999" customHeight="1" x14ac:dyDescent="0.35">
      <c r="A184" s="36" t="s">
        <v>153</v>
      </c>
      <c r="B184" s="34">
        <v>15000</v>
      </c>
      <c r="C184" s="33" t="s">
        <v>19</v>
      </c>
      <c r="D184" s="2">
        <f>SUM(Tabela34[[#This Row],[HP]:[mut FOOD]])+1</f>
        <v>1833</v>
      </c>
      <c r="E184" s="1">
        <v>142</v>
      </c>
      <c r="F184" s="6">
        <v>255</v>
      </c>
      <c r="G184" s="1">
        <v>136</v>
      </c>
      <c r="H184" s="6">
        <v>255</v>
      </c>
      <c r="I184" s="1">
        <v>151</v>
      </c>
      <c r="J184" s="6">
        <v>255</v>
      </c>
      <c r="K184" s="1">
        <v>139</v>
      </c>
      <c r="L184" s="6">
        <v>255</v>
      </c>
      <c r="M184" s="1">
        <v>128</v>
      </c>
      <c r="O184" s="1">
        <v>116</v>
      </c>
      <c r="P184" s="1"/>
      <c r="Q184" s="6" t="s">
        <v>16</v>
      </c>
      <c r="R184" s="1"/>
    </row>
    <row r="185" spans="1:19" ht="20.149999999999999" customHeight="1" x14ac:dyDescent="0.35">
      <c r="A185" s="33" t="s">
        <v>153</v>
      </c>
      <c r="B185" s="34">
        <v>5000</v>
      </c>
      <c r="C185" s="33" t="s">
        <v>19</v>
      </c>
      <c r="D185" s="2">
        <f>SUM(Tabela34[[#This Row],[HP]:[mut FOOD]])+1</f>
        <v>813</v>
      </c>
      <c r="E185" s="1">
        <v>142</v>
      </c>
      <c r="G185" s="1">
        <v>136</v>
      </c>
      <c r="I185" s="1">
        <v>151</v>
      </c>
      <c r="K185" s="1">
        <v>139</v>
      </c>
      <c r="M185" s="1">
        <v>128</v>
      </c>
      <c r="O185" s="1">
        <v>116</v>
      </c>
    </row>
    <row r="186" spans="1:19" ht="20.149999999999999" customHeight="1" x14ac:dyDescent="0.35">
      <c r="A186" s="10" t="s">
        <v>88</v>
      </c>
      <c r="B186" s="34">
        <v>8200</v>
      </c>
      <c r="C186" s="2" t="s">
        <v>17</v>
      </c>
      <c r="D186" s="2">
        <f>SUM(Tabela34[[#This Row],[HP]:[mut FOOD]])+1</f>
        <v>808</v>
      </c>
      <c r="E186" s="1">
        <v>142</v>
      </c>
      <c r="F186" s="1"/>
      <c r="G186" s="1">
        <v>131</v>
      </c>
      <c r="H186" s="1"/>
      <c r="I186" s="1">
        <v>132</v>
      </c>
      <c r="J186" s="1"/>
      <c r="K186" s="1">
        <v>145</v>
      </c>
      <c r="L186" s="1"/>
      <c r="M186" s="1">
        <v>138</v>
      </c>
      <c r="N186" s="1"/>
      <c r="O186" s="1">
        <v>119</v>
      </c>
      <c r="P186" s="1"/>
      <c r="Q186" s="1"/>
      <c r="R186" s="1"/>
    </row>
    <row r="187" spans="1:19" ht="20.149999999999999" customHeight="1" x14ac:dyDescent="0.35">
      <c r="A187" s="10" t="s">
        <v>89</v>
      </c>
      <c r="B187" s="34">
        <v>8200</v>
      </c>
      <c r="C187" s="2" t="s">
        <v>17</v>
      </c>
      <c r="D187" s="2">
        <f>SUM(Tabela34[[#This Row],[HP]:[mut FOOD]])+1</f>
        <v>806</v>
      </c>
      <c r="E187" s="1">
        <v>155</v>
      </c>
      <c r="F187" s="1"/>
      <c r="G187" s="1">
        <v>149</v>
      </c>
      <c r="H187" s="1"/>
      <c r="I187" s="1">
        <v>140</v>
      </c>
      <c r="J187" s="1"/>
      <c r="K187" s="1">
        <v>143</v>
      </c>
      <c r="L187" s="1"/>
      <c r="M187" s="1">
        <v>99</v>
      </c>
      <c r="N187" s="1"/>
      <c r="O187" s="1">
        <v>119</v>
      </c>
      <c r="P187" s="1"/>
      <c r="Q187" s="1"/>
      <c r="R187" s="1"/>
    </row>
    <row r="188" spans="1:19" ht="20.149999999999999" customHeight="1" x14ac:dyDescent="0.35">
      <c r="A188" s="1" t="s">
        <v>90</v>
      </c>
      <c r="B188" s="34">
        <v>12750</v>
      </c>
      <c r="C188" s="2" t="s">
        <v>17</v>
      </c>
      <c r="D188" s="2">
        <f>SUM(Tabela34[[#This Row],[HP]:[mut FOOD]])+1</f>
        <v>999</v>
      </c>
      <c r="E188" s="1">
        <v>142</v>
      </c>
      <c r="F188" s="5">
        <v>98</v>
      </c>
      <c r="G188" s="1">
        <v>137</v>
      </c>
      <c r="I188" s="1">
        <v>136</v>
      </c>
      <c r="K188" s="1">
        <v>140</v>
      </c>
      <c r="L188" s="5">
        <v>98</v>
      </c>
      <c r="M188" s="1">
        <v>113</v>
      </c>
      <c r="O188" s="1">
        <v>134</v>
      </c>
      <c r="Q188" s="1"/>
      <c r="R188" s="1"/>
    </row>
    <row r="189" spans="1:19" ht="20.149999999999999" customHeight="1" x14ac:dyDescent="0.35">
      <c r="A189" s="1" t="s">
        <v>90</v>
      </c>
      <c r="B189" s="34">
        <v>17500</v>
      </c>
      <c r="C189" s="2" t="s">
        <v>17</v>
      </c>
      <c r="D189" s="2">
        <f>SUM(Tabela34[[#This Row],[HP]:[mut FOOD]])+1</f>
        <v>1195</v>
      </c>
      <c r="E189" s="1">
        <v>142</v>
      </c>
      <c r="F189" s="5">
        <v>98</v>
      </c>
      <c r="G189" s="1">
        <v>137</v>
      </c>
      <c r="H189" s="5">
        <v>98</v>
      </c>
      <c r="I189" s="1">
        <v>136</v>
      </c>
      <c r="J189" s="5">
        <v>98</v>
      </c>
      <c r="K189" s="1">
        <v>140</v>
      </c>
      <c r="L189" s="5">
        <v>98</v>
      </c>
      <c r="M189" s="1">
        <v>113</v>
      </c>
      <c r="O189" s="1">
        <v>134</v>
      </c>
      <c r="Q189" s="1"/>
      <c r="R189" s="1"/>
    </row>
    <row r="190" spans="1:19" ht="20.149999999999999" customHeight="1" x14ac:dyDescent="0.35">
      <c r="A190" s="1" t="s">
        <v>90</v>
      </c>
      <c r="B190" s="34">
        <v>21000</v>
      </c>
      <c r="C190" s="2" t="s">
        <v>17</v>
      </c>
      <c r="D190" s="2">
        <f>SUM(Tabela34[[#This Row],[HP]:[mut FOOD]])+1</f>
        <v>1451</v>
      </c>
      <c r="E190" s="1">
        <v>142</v>
      </c>
      <c r="F190" s="6">
        <v>162</v>
      </c>
      <c r="G190" s="1">
        <v>137</v>
      </c>
      <c r="H190" s="6">
        <v>162</v>
      </c>
      <c r="I190" s="1">
        <v>136</v>
      </c>
      <c r="J190" s="6">
        <v>162</v>
      </c>
      <c r="K190" s="1">
        <v>140</v>
      </c>
      <c r="L190" s="6">
        <v>162</v>
      </c>
      <c r="M190" s="1">
        <v>113</v>
      </c>
      <c r="N190" s="6"/>
      <c r="O190" s="1">
        <v>134</v>
      </c>
      <c r="P190" s="6"/>
      <c r="Q190" s="6" t="s">
        <v>16</v>
      </c>
      <c r="R190" s="1"/>
    </row>
    <row r="191" spans="1:19" ht="20.149999999999999" customHeight="1" x14ac:dyDescent="0.35">
      <c r="A191" s="1" t="s">
        <v>90</v>
      </c>
      <c r="B191" s="34">
        <v>25100</v>
      </c>
      <c r="C191" s="2" t="s">
        <v>17</v>
      </c>
      <c r="D191" s="2">
        <f>SUM(Tabela34[[#This Row],[HP]:[mut FOOD]])+1</f>
        <v>1823</v>
      </c>
      <c r="E191" s="1">
        <v>142</v>
      </c>
      <c r="F191" s="6">
        <v>255</v>
      </c>
      <c r="G191" s="1">
        <v>137</v>
      </c>
      <c r="H191" s="6">
        <v>255</v>
      </c>
      <c r="I191" s="1">
        <v>136</v>
      </c>
      <c r="J191" s="6">
        <v>255</v>
      </c>
      <c r="K191" s="1">
        <v>140</v>
      </c>
      <c r="L191" s="6">
        <v>255</v>
      </c>
      <c r="M191" s="1">
        <v>113</v>
      </c>
      <c r="N191" s="6"/>
      <c r="O191" s="1">
        <v>134</v>
      </c>
      <c r="P191" s="6"/>
      <c r="Q191" s="6" t="s">
        <v>16</v>
      </c>
      <c r="R191" s="1"/>
    </row>
    <row r="192" spans="1:19" ht="20.149999999999999" customHeight="1" x14ac:dyDescent="0.35">
      <c r="A192" s="10" t="s">
        <v>90</v>
      </c>
      <c r="B192" s="34">
        <v>8050</v>
      </c>
      <c r="C192" s="2" t="s">
        <v>17</v>
      </c>
      <c r="D192" s="2">
        <f>SUM(Tabela34[[#This Row],[HP]:[mut FOOD]])+1</f>
        <v>803</v>
      </c>
      <c r="E192" s="1">
        <v>142</v>
      </c>
      <c r="F192" s="1"/>
      <c r="G192" s="1">
        <v>137</v>
      </c>
      <c r="H192" s="1"/>
      <c r="I192" s="1">
        <v>136</v>
      </c>
      <c r="J192" s="1"/>
      <c r="K192" s="1">
        <v>140</v>
      </c>
      <c r="L192" s="1"/>
      <c r="M192" s="1">
        <v>113</v>
      </c>
      <c r="N192" s="1"/>
      <c r="O192" s="1">
        <v>134</v>
      </c>
      <c r="P192" s="1"/>
      <c r="Q192" s="1"/>
      <c r="R192" s="1"/>
    </row>
    <row r="193" spans="1:19" ht="20.149999999999999" customHeight="1" x14ac:dyDescent="0.35">
      <c r="A193" s="10" t="s">
        <v>122</v>
      </c>
      <c r="B193" s="34">
        <v>4500</v>
      </c>
      <c r="C193" s="2" t="s">
        <v>25</v>
      </c>
      <c r="D193" s="2">
        <f>SUM(Tabela34[[#This Row],[HP]:[mut FOOD]])+1</f>
        <v>780</v>
      </c>
      <c r="E193" s="1">
        <v>163</v>
      </c>
      <c r="F193" s="1"/>
      <c r="G193" s="1">
        <v>160</v>
      </c>
      <c r="H193" s="1"/>
      <c r="I193" s="1">
        <v>146</v>
      </c>
      <c r="J193" s="1"/>
      <c r="K193" s="1">
        <v>164</v>
      </c>
      <c r="L193" s="1"/>
      <c r="N193" s="1"/>
      <c r="O193" s="1">
        <v>146</v>
      </c>
      <c r="P193" s="1"/>
      <c r="Q193" s="1"/>
      <c r="R193" s="1"/>
    </row>
    <row r="194" spans="1:19" ht="20.149999999999999" customHeight="1" x14ac:dyDescent="0.35">
      <c r="A194" s="10" t="s">
        <v>91</v>
      </c>
      <c r="B194" s="34">
        <v>5200</v>
      </c>
      <c r="C194" s="2" t="s">
        <v>19</v>
      </c>
      <c r="D194" s="2">
        <f>SUM(Tabela34[[#This Row],[HP]:[mut FOOD]])+1</f>
        <v>815</v>
      </c>
      <c r="E194" s="1">
        <v>138</v>
      </c>
      <c r="F194" s="1"/>
      <c r="G194" s="1">
        <v>141</v>
      </c>
      <c r="H194" s="1"/>
      <c r="I194" s="1">
        <v>138</v>
      </c>
      <c r="J194" s="1"/>
      <c r="K194" s="1">
        <v>145</v>
      </c>
      <c r="L194" s="1"/>
      <c r="M194" s="1">
        <v>133</v>
      </c>
      <c r="N194" s="1"/>
      <c r="O194" s="1">
        <v>119</v>
      </c>
      <c r="P194" s="1"/>
      <c r="Q194" s="1"/>
      <c r="R194" s="1"/>
    </row>
    <row r="195" spans="1:19" ht="20.149999999999999" customHeight="1" x14ac:dyDescent="0.35">
      <c r="A195" s="10" t="s">
        <v>141</v>
      </c>
      <c r="B195" s="34">
        <v>4200</v>
      </c>
      <c r="C195" s="2" t="s">
        <v>19</v>
      </c>
      <c r="D195" s="2">
        <f>SUM(Tabela34[[#This Row],[HP]:[mut FOOD]])+1</f>
        <v>735</v>
      </c>
      <c r="E195" s="1">
        <v>139</v>
      </c>
      <c r="F195" s="1"/>
      <c r="G195" s="1">
        <v>129</v>
      </c>
      <c r="H195" s="1"/>
      <c r="I195" s="1">
        <v>120</v>
      </c>
      <c r="J195" s="1"/>
      <c r="K195" s="1">
        <v>117</v>
      </c>
      <c r="L195" s="1"/>
      <c r="M195" s="1">
        <v>112</v>
      </c>
      <c r="N195" s="1"/>
      <c r="O195" s="1">
        <v>117</v>
      </c>
      <c r="P195" s="1"/>
      <c r="Q195" s="1"/>
      <c r="R195" s="1"/>
      <c r="S195" s="1" t="s">
        <v>101</v>
      </c>
    </row>
    <row r="196" spans="1:19" ht="20.149999999999999" customHeight="1" x14ac:dyDescent="0.35">
      <c r="A196" s="10" t="s">
        <v>147</v>
      </c>
      <c r="B196" s="34">
        <v>5500</v>
      </c>
      <c r="C196" s="2" t="s">
        <v>19</v>
      </c>
      <c r="D196" s="2">
        <f>SUM(Tabela34[[#This Row],[HP]:[mut FOOD]])+1</f>
        <v>798</v>
      </c>
      <c r="E196" s="1">
        <v>139</v>
      </c>
      <c r="F196" s="1"/>
      <c r="G196" s="1">
        <v>148</v>
      </c>
      <c r="H196" s="1"/>
      <c r="I196" s="1">
        <v>126</v>
      </c>
      <c r="J196" s="1"/>
      <c r="K196" s="1">
        <v>140</v>
      </c>
      <c r="L196" s="1"/>
      <c r="M196" s="1">
        <v>132</v>
      </c>
      <c r="N196" s="1"/>
      <c r="O196" s="1">
        <v>112</v>
      </c>
      <c r="P196" s="1"/>
      <c r="Q196" s="1"/>
      <c r="R196" s="1"/>
    </row>
    <row r="197" spans="1:19" ht="20.149999999999999" customHeight="1" x14ac:dyDescent="0.35">
      <c r="A197"/>
    </row>
  </sheetData>
  <pageMargins left="0.35433070866141736" right="0" top="0.19685039370078741" bottom="0" header="0" footer="0"/>
  <pageSetup paperSize="9" scale="47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AD09A-BB94-4042-8249-A5CF1B7AFDFB}">
  <dimension ref="A1:K19"/>
  <sheetViews>
    <sheetView workbookViewId="0">
      <selection activeCell="J5" sqref="J5:J19"/>
    </sheetView>
  </sheetViews>
  <sheetFormatPr defaultColWidth="20.54296875" defaultRowHeight="14.5" x14ac:dyDescent="0.35"/>
  <cols>
    <col min="1" max="1" width="22.453125" bestFit="1" customWidth="1"/>
    <col min="2" max="2" width="26.54296875" bestFit="1" customWidth="1"/>
  </cols>
  <sheetData>
    <row r="1" spans="1:11" x14ac:dyDescent="0.35">
      <c r="A1" t="s">
        <v>150</v>
      </c>
      <c r="B1" t="str">
        <f>UPPER(A1)</f>
        <v>GIGANTOPITHECUS ABERRANT</v>
      </c>
    </row>
    <row r="2" spans="1:11" x14ac:dyDescent="0.35">
      <c r="A2" t="s">
        <v>151</v>
      </c>
      <c r="B2" t="str">
        <f t="shared" ref="B2:B16" si="0">UPPER(A2)</f>
        <v>VELONASAUR - S</v>
      </c>
    </row>
    <row r="3" spans="1:11" x14ac:dyDescent="0.35">
      <c r="A3" t="s">
        <v>154</v>
      </c>
      <c r="B3" t="str">
        <f t="shared" si="0"/>
        <v>BOARATOS</v>
      </c>
    </row>
    <row r="4" spans="1:11" x14ac:dyDescent="0.35">
      <c r="A4" t="s">
        <v>156</v>
      </c>
      <c r="B4" t="str">
        <f t="shared" si="0"/>
        <v>FEROX</v>
      </c>
      <c r="D4" t="s">
        <v>160</v>
      </c>
      <c r="E4" t="s">
        <v>161</v>
      </c>
      <c r="F4" t="s">
        <v>162</v>
      </c>
      <c r="G4" t="s">
        <v>3</v>
      </c>
      <c r="H4" t="s">
        <v>163</v>
      </c>
      <c r="I4" t="s">
        <v>164</v>
      </c>
      <c r="J4" t="s">
        <v>165</v>
      </c>
      <c r="K4" t="s">
        <v>166</v>
      </c>
    </row>
    <row r="5" spans="1:11" x14ac:dyDescent="0.35">
      <c r="A5" t="s">
        <v>158</v>
      </c>
      <c r="B5" t="str">
        <f t="shared" si="0"/>
        <v>HESPERORNIS - S</v>
      </c>
      <c r="D5">
        <v>1</v>
      </c>
      <c r="E5" t="s">
        <v>155</v>
      </c>
      <c r="F5" t="s">
        <v>19</v>
      </c>
      <c r="G5">
        <v>1269</v>
      </c>
      <c r="H5" t="s">
        <v>167</v>
      </c>
      <c r="I5" t="s">
        <v>168</v>
      </c>
      <c r="J5" s="37">
        <v>21000</v>
      </c>
      <c r="K5" s="37">
        <v>25200</v>
      </c>
    </row>
    <row r="6" spans="1:11" x14ac:dyDescent="0.35">
      <c r="B6" t="str">
        <f t="shared" si="0"/>
        <v/>
      </c>
      <c r="D6">
        <v>2</v>
      </c>
      <c r="E6" t="s">
        <v>155</v>
      </c>
      <c r="F6" t="s">
        <v>19</v>
      </c>
      <c r="G6">
        <v>1465</v>
      </c>
      <c r="H6" t="s">
        <v>169</v>
      </c>
      <c r="I6" t="s">
        <v>168</v>
      </c>
      <c r="J6" s="37">
        <v>26300</v>
      </c>
      <c r="K6" s="37">
        <v>31600</v>
      </c>
    </row>
    <row r="7" spans="1:11" x14ac:dyDescent="0.35">
      <c r="B7" t="str">
        <f t="shared" si="0"/>
        <v/>
      </c>
      <c r="D7">
        <v>3</v>
      </c>
      <c r="E7" t="s">
        <v>155</v>
      </c>
      <c r="F7" t="s">
        <v>19</v>
      </c>
      <c r="G7">
        <v>1525</v>
      </c>
      <c r="H7" t="s">
        <v>170</v>
      </c>
      <c r="I7" t="s">
        <v>16</v>
      </c>
      <c r="J7" s="37">
        <v>24600</v>
      </c>
      <c r="K7" s="37">
        <v>29500</v>
      </c>
    </row>
    <row r="8" spans="1:11" x14ac:dyDescent="0.35">
      <c r="B8" t="str">
        <f t="shared" si="0"/>
        <v/>
      </c>
      <c r="D8">
        <v>4</v>
      </c>
      <c r="E8" t="s">
        <v>155</v>
      </c>
      <c r="F8" t="s">
        <v>19</v>
      </c>
      <c r="G8">
        <v>1849</v>
      </c>
      <c r="H8" t="s">
        <v>171</v>
      </c>
      <c r="I8" t="s">
        <v>16</v>
      </c>
      <c r="J8" s="37">
        <v>31700</v>
      </c>
      <c r="K8" s="37">
        <v>38000</v>
      </c>
    </row>
    <row r="9" spans="1:11" x14ac:dyDescent="0.35">
      <c r="B9" t="str">
        <f t="shared" si="0"/>
        <v/>
      </c>
      <c r="D9">
        <v>5</v>
      </c>
      <c r="E9" t="s">
        <v>155</v>
      </c>
      <c r="F9" t="s">
        <v>19</v>
      </c>
      <c r="G9">
        <v>1897</v>
      </c>
      <c r="H9" t="s">
        <v>172</v>
      </c>
      <c r="I9" t="s">
        <v>16</v>
      </c>
      <c r="J9" s="37">
        <v>29600</v>
      </c>
      <c r="K9" s="37">
        <v>35500</v>
      </c>
    </row>
    <row r="10" spans="1:11" x14ac:dyDescent="0.35">
      <c r="B10" t="str">
        <f t="shared" si="0"/>
        <v/>
      </c>
      <c r="D10">
        <v>6</v>
      </c>
      <c r="E10" t="s">
        <v>155</v>
      </c>
      <c r="F10" t="s">
        <v>19</v>
      </c>
      <c r="G10">
        <v>2407</v>
      </c>
      <c r="H10" t="s">
        <v>173</v>
      </c>
      <c r="I10" t="s">
        <v>16</v>
      </c>
      <c r="J10" s="37">
        <v>39200</v>
      </c>
      <c r="K10" s="37">
        <v>47000</v>
      </c>
    </row>
    <row r="11" spans="1:11" x14ac:dyDescent="0.35">
      <c r="B11" t="str">
        <f t="shared" si="0"/>
        <v/>
      </c>
      <c r="D11">
        <v>7</v>
      </c>
      <c r="E11" t="s">
        <v>127</v>
      </c>
      <c r="F11" t="s">
        <v>19</v>
      </c>
      <c r="G11">
        <v>1198</v>
      </c>
      <c r="H11" t="s">
        <v>167</v>
      </c>
      <c r="I11" t="s">
        <v>168</v>
      </c>
      <c r="J11" s="37">
        <v>14100</v>
      </c>
      <c r="K11" s="37">
        <v>16900</v>
      </c>
    </row>
    <row r="12" spans="1:11" x14ac:dyDescent="0.35">
      <c r="B12" t="str">
        <f t="shared" si="0"/>
        <v/>
      </c>
      <c r="D12">
        <v>8</v>
      </c>
      <c r="E12" t="s">
        <v>127</v>
      </c>
      <c r="F12" t="s">
        <v>19</v>
      </c>
      <c r="G12">
        <v>1454</v>
      </c>
      <c r="H12" t="s">
        <v>170</v>
      </c>
      <c r="I12" t="s">
        <v>16</v>
      </c>
      <c r="J12" s="37">
        <v>16600</v>
      </c>
      <c r="K12" s="37">
        <v>19900</v>
      </c>
    </row>
    <row r="13" spans="1:11" x14ac:dyDescent="0.35">
      <c r="B13" t="str">
        <f t="shared" si="0"/>
        <v/>
      </c>
      <c r="D13">
        <v>9</v>
      </c>
      <c r="E13" t="s">
        <v>127</v>
      </c>
      <c r="F13" t="s">
        <v>19</v>
      </c>
      <c r="G13">
        <v>1826</v>
      </c>
      <c r="H13" t="s">
        <v>172</v>
      </c>
      <c r="I13" t="s">
        <v>16</v>
      </c>
      <c r="J13" s="37">
        <v>20200</v>
      </c>
      <c r="K13" s="37">
        <v>24200</v>
      </c>
    </row>
    <row r="14" spans="1:11" x14ac:dyDescent="0.35">
      <c r="B14" t="str">
        <f t="shared" si="0"/>
        <v/>
      </c>
      <c r="D14">
        <v>10</v>
      </c>
      <c r="E14" t="s">
        <v>124</v>
      </c>
      <c r="F14" t="s">
        <v>25</v>
      </c>
      <c r="G14">
        <v>1124</v>
      </c>
      <c r="H14" t="s">
        <v>167</v>
      </c>
      <c r="I14" t="s">
        <v>168</v>
      </c>
      <c r="J14" s="37">
        <v>12300</v>
      </c>
      <c r="K14" s="37">
        <v>14700</v>
      </c>
    </row>
    <row r="15" spans="1:11" x14ac:dyDescent="0.35">
      <c r="B15" t="str">
        <f t="shared" si="0"/>
        <v/>
      </c>
      <c r="D15">
        <v>11</v>
      </c>
      <c r="E15" t="s">
        <v>124</v>
      </c>
      <c r="F15" t="s">
        <v>25</v>
      </c>
      <c r="G15">
        <v>1380</v>
      </c>
      <c r="H15" t="s">
        <v>170</v>
      </c>
      <c r="I15" t="s">
        <v>16</v>
      </c>
      <c r="J15" s="37">
        <v>14700</v>
      </c>
      <c r="K15" s="37">
        <v>17600</v>
      </c>
    </row>
    <row r="16" spans="1:11" x14ac:dyDescent="0.35">
      <c r="B16" t="str">
        <f t="shared" si="0"/>
        <v/>
      </c>
      <c r="D16">
        <v>12</v>
      </c>
      <c r="E16" t="s">
        <v>124</v>
      </c>
      <c r="F16" t="s">
        <v>25</v>
      </c>
      <c r="G16">
        <v>1752</v>
      </c>
      <c r="H16" t="s">
        <v>172</v>
      </c>
      <c r="I16" t="s">
        <v>16</v>
      </c>
      <c r="J16" s="37">
        <v>18000</v>
      </c>
      <c r="K16" s="37">
        <v>21600</v>
      </c>
    </row>
    <row r="17" spans="4:11" x14ac:dyDescent="0.35">
      <c r="D17">
        <v>13</v>
      </c>
      <c r="E17" t="s">
        <v>153</v>
      </c>
      <c r="F17" t="s">
        <v>19</v>
      </c>
      <c r="G17">
        <v>1205</v>
      </c>
      <c r="H17" t="s">
        <v>167</v>
      </c>
      <c r="I17" t="s">
        <v>168</v>
      </c>
      <c r="J17" s="37">
        <v>10200</v>
      </c>
      <c r="K17" s="37">
        <v>12200</v>
      </c>
    </row>
    <row r="18" spans="4:11" x14ac:dyDescent="0.35">
      <c r="D18">
        <v>14</v>
      </c>
      <c r="E18" t="s">
        <v>153</v>
      </c>
      <c r="F18" t="s">
        <v>19</v>
      </c>
      <c r="G18">
        <v>1461</v>
      </c>
      <c r="H18" t="s">
        <v>170</v>
      </c>
      <c r="I18" t="s">
        <v>16</v>
      </c>
      <c r="J18" s="37">
        <v>12000</v>
      </c>
      <c r="K18" s="37">
        <v>14400</v>
      </c>
    </row>
    <row r="19" spans="4:11" x14ac:dyDescent="0.35">
      <c r="D19">
        <v>15</v>
      </c>
      <c r="E19" t="s">
        <v>153</v>
      </c>
      <c r="F19" t="s">
        <v>19</v>
      </c>
      <c r="G19">
        <v>1833</v>
      </c>
      <c r="H19" t="s">
        <v>172</v>
      </c>
      <c r="I19" t="s">
        <v>16</v>
      </c>
      <c r="J19" s="37">
        <v>14600</v>
      </c>
      <c r="K19" s="37">
        <v>17500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3</vt:i4>
      </vt:variant>
      <vt:variant>
        <vt:lpstr>Nazwane zakresy</vt:lpstr>
      </vt:variant>
      <vt:variant>
        <vt:i4>1</vt:i4>
      </vt:variant>
    </vt:vector>
  </HeadingPairs>
  <TitlesOfParts>
    <vt:vector size="4" baseType="lpstr">
      <vt:lpstr>SELL NEW</vt:lpstr>
      <vt:lpstr>SELL</vt:lpstr>
      <vt:lpstr>Arkusz1</vt:lpstr>
      <vt:lpstr>SELL!Obszar_wydruku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Anna Winogrodzka</dc:creator>
  <cp:keywords/>
  <dc:description/>
  <cp:lastModifiedBy>Anna Winogrodzka</cp:lastModifiedBy>
  <cp:revision/>
  <dcterms:created xsi:type="dcterms:W3CDTF">2023-11-05T17:16:09Z</dcterms:created>
  <dcterms:modified xsi:type="dcterms:W3CDTF">2026-10-13T22:16:59Z</dcterms:modified>
  <cp:category/>
  <cp:contentStatus/>
</cp:coreProperties>
</file>